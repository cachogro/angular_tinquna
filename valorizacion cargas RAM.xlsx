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https://d.docs.live.net/2e9d4cecd286acf0/Desktop/tinkuriquna/front-end/"/>
    </mc:Choice>
  </mc:AlternateContent>
  <xr:revisionPtr revIDLastSave="3" documentId="8_{6084359C-EE6B-4744-9BB5-567715ED201A}" xr6:coauthVersionLast="47" xr6:coauthVersionMax="47" xr10:uidLastSave="{8CF0B1C6-EE07-41DA-B830-E805F2A85B5A}"/>
  <bookViews>
    <workbookView xWindow="-118" yWindow="-118" windowWidth="25370" windowHeight="13667" activeTab="1" xr2:uid="{00000000-000D-0000-FFFF-FFFF00000000}"/>
  </bookViews>
  <sheets>
    <sheet name="Hoja1" sheetId="1" r:id="rId1"/>
    <sheet name="LIQ. " sheetId="2" r:id="rId2"/>
  </sheets>
  <definedNames>
    <definedName name="_xlnm.Print_Area" localSheetId="1">'LIQ. '!$A$1:$I$38</definedName>
    <definedName name="LIQUIDACION" localSheetId="1">Hoja1!$B$14</definedName>
  </definedNames>
  <calcPr calcId="191029"/>
</workbook>
</file>

<file path=xl/calcChain.xml><?xml version="1.0" encoding="utf-8"?>
<calcChain xmlns="http://schemas.openxmlformats.org/spreadsheetml/2006/main">
  <c r="E14" i="2" l="1"/>
  <c r="E13" i="2"/>
  <c r="P18" i="2"/>
  <c r="C9" i="2" l="1"/>
  <c r="B5" i="1"/>
  <c r="C8" i="2" s="1"/>
  <c r="D10" i="1"/>
  <c r="E10" i="1" s="1"/>
  <c r="C15" i="2"/>
  <c r="C14" i="2"/>
  <c r="C13" i="2"/>
  <c r="D12" i="2"/>
  <c r="C11" i="2"/>
  <c r="C10" i="2"/>
  <c r="F8" i="2"/>
  <c r="G4" i="2"/>
  <c r="J50" i="1"/>
  <c r="J51" i="1" s="1"/>
  <c r="J42" i="1"/>
  <c r="J43" i="1" s="1"/>
  <c r="J44" i="1" s="1"/>
  <c r="J45" i="1" s="1"/>
  <c r="J46" i="1" s="1"/>
  <c r="J47" i="1" s="1"/>
  <c r="J48" i="1" s="1"/>
  <c r="J35" i="1"/>
  <c r="J36" i="1" s="1"/>
  <c r="J37" i="1" s="1"/>
  <c r="J38" i="1" s="1"/>
  <c r="J39" i="1" s="1"/>
  <c r="J40" i="1" s="1"/>
  <c r="J34" i="1"/>
  <c r="J33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D11" i="1"/>
  <c r="E11" i="1" s="1"/>
  <c r="D9" i="1"/>
  <c r="E9" i="1" s="1"/>
  <c r="F9" i="1" s="1"/>
  <c r="L8" i="1"/>
  <c r="N8" i="1" s="1"/>
  <c r="I8" i="1"/>
  <c r="K8" i="1" s="1"/>
  <c r="N7" i="1"/>
  <c r="K7" i="1"/>
  <c r="N6" i="1"/>
  <c r="K6" i="1"/>
  <c r="L9" i="1" l="1"/>
  <c r="L10" i="1" s="1"/>
  <c r="I9" i="1"/>
  <c r="I10" i="1" s="1"/>
  <c r="F10" i="1"/>
  <c r="F11" i="1"/>
  <c r="N10" i="1"/>
  <c r="L11" i="1"/>
  <c r="K10" i="1"/>
  <c r="I11" i="1"/>
  <c r="K9" i="1"/>
  <c r="N9" i="1"/>
  <c r="I12" i="1" l="1"/>
  <c r="K11" i="1"/>
  <c r="L12" i="1"/>
  <c r="N11" i="1"/>
  <c r="I13" i="1" l="1"/>
  <c r="K12" i="1"/>
  <c r="N12" i="1"/>
  <c r="L13" i="1"/>
  <c r="N13" i="1" l="1"/>
  <c r="L14" i="1"/>
  <c r="K13" i="1"/>
  <c r="I14" i="1"/>
  <c r="I15" i="1" l="1"/>
  <c r="K14" i="1"/>
  <c r="N14" i="1"/>
  <c r="I16" i="1" l="1"/>
  <c r="K15" i="1"/>
  <c r="I17" i="1" l="1"/>
  <c r="K16" i="1"/>
  <c r="K17" i="1" l="1"/>
  <c r="I18" i="1"/>
  <c r="I19" i="1" l="1"/>
  <c r="K18" i="1"/>
  <c r="K19" i="1" l="1"/>
  <c r="I20" i="1"/>
  <c r="I21" i="1" l="1"/>
  <c r="K20" i="1"/>
  <c r="K21" i="1" l="1"/>
  <c r="I22" i="1"/>
  <c r="K22" i="1" l="1"/>
  <c r="I23" i="1"/>
  <c r="I24" i="1" l="1"/>
  <c r="K23" i="1"/>
  <c r="I25" i="1" l="1"/>
  <c r="K24" i="1"/>
  <c r="K25" i="1" l="1"/>
  <c r="I26" i="1"/>
  <c r="I27" i="1" l="1"/>
  <c r="K26" i="1"/>
  <c r="I28" i="1" l="1"/>
  <c r="F12" i="1" s="1"/>
  <c r="G13" i="2" s="1"/>
  <c r="F16" i="2" s="1"/>
  <c r="K27" i="1"/>
  <c r="I29" i="1" l="1"/>
  <c r="K28" i="1"/>
  <c r="K29" i="1" l="1"/>
  <c r="I30" i="1"/>
  <c r="F20" i="2" l="1"/>
  <c r="F19" i="2"/>
  <c r="F22" i="2"/>
  <c r="F21" i="2"/>
  <c r="F18" i="2"/>
  <c r="K30" i="1"/>
  <c r="I31" i="1"/>
  <c r="F17" i="2"/>
  <c r="F25" i="2" l="1"/>
  <c r="F26" i="2" s="1"/>
  <c r="F29" i="2" s="1"/>
  <c r="K31" i="1"/>
  <c r="I32" i="1"/>
  <c r="I33" i="1" l="1"/>
  <c r="K32" i="1"/>
  <c r="I34" i="1" l="1"/>
  <c r="K33" i="1"/>
  <c r="I35" i="1" l="1"/>
  <c r="K34" i="1"/>
  <c r="K35" i="1" l="1"/>
  <c r="I36" i="1"/>
  <c r="I37" i="1" l="1"/>
  <c r="K36" i="1"/>
  <c r="I38" i="1" l="1"/>
  <c r="K37" i="1"/>
  <c r="I39" i="1" l="1"/>
  <c r="K38" i="1"/>
  <c r="K39" i="1" l="1"/>
  <c r="I40" i="1"/>
  <c r="I41" i="1" l="1"/>
  <c r="K40" i="1"/>
  <c r="I42" i="1" l="1"/>
  <c r="K41" i="1"/>
  <c r="K42" i="1" l="1"/>
  <c r="I43" i="1"/>
  <c r="K43" i="1" l="1"/>
  <c r="I44" i="1"/>
  <c r="I45" i="1" l="1"/>
  <c r="K44" i="1"/>
  <c r="I46" i="1" l="1"/>
  <c r="K45" i="1"/>
  <c r="K46" i="1" l="1"/>
  <c r="I47" i="1"/>
  <c r="I48" i="1" l="1"/>
  <c r="K47" i="1"/>
  <c r="I49" i="1" l="1"/>
  <c r="K48" i="1"/>
  <c r="I50" i="1" l="1"/>
  <c r="K49" i="1"/>
  <c r="I51" i="1" l="1"/>
  <c r="K51" i="1" s="1"/>
  <c r="K50" i="1"/>
</calcChain>
</file>

<file path=xl/sharedStrings.xml><?xml version="1.0" encoding="utf-8"?>
<sst xmlns="http://schemas.openxmlformats.org/spreadsheetml/2006/main" count="72" uniqueCount="70">
  <si>
    <t>DATOS</t>
  </si>
  <si>
    <t>LEYES</t>
  </si>
  <si>
    <t>Zn</t>
  </si>
  <si>
    <t>LEY</t>
  </si>
  <si>
    <t>$U$ ZN</t>
  </si>
  <si>
    <t>SUS TMH Zn</t>
  </si>
  <si>
    <t>PRECIO PLATA</t>
  </si>
  <si>
    <t>SUS TMH Ag.</t>
  </si>
  <si>
    <t>Fecha</t>
  </si>
  <si>
    <t>Ag</t>
  </si>
  <si>
    <t>% Zn</t>
  </si>
  <si>
    <t>USD/Punto</t>
  </si>
  <si>
    <t>(DM)</t>
  </si>
  <si>
    <t>USD/DM</t>
  </si>
  <si>
    <t>Nombre</t>
  </si>
  <si>
    <t>Pb</t>
  </si>
  <si>
    <t>Cooperativa</t>
  </si>
  <si>
    <t>PESO</t>
  </si>
  <si>
    <t>Municipio</t>
  </si>
  <si>
    <t>POTOSI</t>
  </si>
  <si>
    <t>H2O</t>
  </si>
  <si>
    <t>Procendencia /Mina:</t>
  </si>
  <si>
    <t>LOTE</t>
  </si>
  <si>
    <t>PRECIO PLOMO</t>
  </si>
  <si>
    <t>SUS TMH Pb</t>
  </si>
  <si>
    <t>% Pb</t>
  </si>
  <si>
    <t>N°</t>
  </si>
  <si>
    <t>Potosí - Bolivia</t>
  </si>
  <si>
    <t>LIQUIDACIÓN DE MINERAL</t>
  </si>
  <si>
    <t>Fecha:</t>
  </si>
  <si>
    <t>Lote:</t>
  </si>
  <si>
    <t>1RA QUINCENA DE SEPTIEMBRE</t>
  </si>
  <si>
    <t>Nombre:</t>
  </si>
  <si>
    <t>Cotización Oficial Zn:</t>
  </si>
  <si>
    <t>Cooperativa:</t>
  </si>
  <si>
    <t>Cotización Oficial Ag:</t>
  </si>
  <si>
    <t>Municipio:</t>
  </si>
  <si>
    <t>Cotización Oficial Pb:</t>
  </si>
  <si>
    <t>Procendencia/Mina:</t>
  </si>
  <si>
    <t>LEY ZN</t>
  </si>
  <si>
    <t>Peso Hum:</t>
  </si>
  <si>
    <t>VALOR TONELADA Bs.:</t>
  </si>
  <si>
    <t>LEY AG</t>
  </si>
  <si>
    <t>Peso Seco:</t>
  </si>
  <si>
    <t>LEY Pb</t>
  </si>
  <si>
    <t>VALORACIÓN LOTE Bs.:</t>
  </si>
  <si>
    <r>
      <rPr>
        <sz val="11"/>
        <color rgb="FF000000"/>
        <rFont val="Arial Rounded"/>
      </rPr>
      <t xml:space="preserve">Regalía        </t>
    </r>
    <r>
      <rPr>
        <sz val="5"/>
        <color rgb="FF333333"/>
        <rFont val="Arial Rounded MT Bold"/>
        <family val="2"/>
      </rPr>
      <t>Zn;3% Ag;3,6% Pb;3%</t>
    </r>
  </si>
  <si>
    <r>
      <rPr>
        <sz val="11"/>
        <color rgb="FF000000"/>
        <rFont val="Arial Rounded"/>
      </rPr>
      <t xml:space="preserve">FENCOMIN              </t>
    </r>
    <r>
      <rPr>
        <sz val="5"/>
        <color rgb="FF333333"/>
        <rFont val="Arial Rounded MT Bold"/>
        <family val="2"/>
      </rPr>
      <t>0,4%</t>
    </r>
  </si>
  <si>
    <t>TOTAL DESCUENTOS</t>
  </si>
  <si>
    <t>DEDUCCIONES:</t>
  </si>
  <si>
    <t>OTROS ANTICIPOS</t>
  </si>
  <si>
    <t>ANTICIPO</t>
  </si>
  <si>
    <t xml:space="preserve"> </t>
  </si>
  <si>
    <t>ADMINISTRADOR</t>
  </si>
  <si>
    <t>CLIENTE</t>
  </si>
  <si>
    <t>C.I.:</t>
  </si>
  <si>
    <t>Entregue conforme</t>
  </si>
  <si>
    <t>Recibi conforme</t>
  </si>
  <si>
    <t>EMPRESA MINERA NERCAVE S.R.L.</t>
  </si>
  <si>
    <t>NELSON CAVERO</t>
  </si>
  <si>
    <t>KORI MAYU</t>
  </si>
  <si>
    <t>MONJA 2</t>
  </si>
  <si>
    <t>TIPO DE CAMBIO</t>
  </si>
  <si>
    <r>
      <t xml:space="preserve">C.N.S.           </t>
    </r>
    <r>
      <rPr>
        <sz val="8"/>
        <color rgb="FF000000"/>
        <rFont val="Arial Rounded MT Bold"/>
        <family val="2"/>
      </rPr>
      <t xml:space="preserve">             </t>
    </r>
    <r>
      <rPr>
        <sz val="8"/>
        <color rgb="FF333333"/>
        <rFont val="Arial Rounded MT Bold"/>
        <family val="2"/>
      </rPr>
      <t xml:space="preserve">  </t>
    </r>
    <r>
      <rPr>
        <sz val="5"/>
        <color rgb="FF333333"/>
        <rFont val="Arial Rounded MT Bold"/>
        <family val="2"/>
      </rPr>
      <t>1,80 %</t>
    </r>
  </si>
  <si>
    <t xml:space="preserve">COOPERATIVA        </t>
  </si>
  <si>
    <t>TOTAL LIQUIDACIÓN:</t>
  </si>
  <si>
    <t>LIQUIDO PAGABLE:</t>
  </si>
  <si>
    <r>
      <t xml:space="preserve">COMIBOL          </t>
    </r>
    <r>
      <rPr>
        <sz val="5"/>
        <color rgb="FF000000"/>
        <rFont val="Arial Rounded MT Bold"/>
        <family val="2"/>
      </rPr>
      <t xml:space="preserve">                     </t>
    </r>
    <r>
      <rPr>
        <sz val="5"/>
        <color rgb="FF333333"/>
        <rFont val="Arial Rounded MT Bold"/>
        <family val="2"/>
      </rPr>
      <t>1%</t>
    </r>
  </si>
  <si>
    <r>
      <t xml:space="preserve">FEDECOMIN             </t>
    </r>
    <r>
      <rPr>
        <sz val="5"/>
        <color rgb="FF333333"/>
        <rFont val="Arial Rounded MT Bold"/>
        <family val="2"/>
      </rPr>
      <t>1%</t>
    </r>
  </si>
  <si>
    <t>Liquidación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</si>
</sst>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_(* #,##0.00_);_(* \(#,##0.00\);_(* &quot;-&quot;??_);_(@_)"/>
  </numFmts>
  <fonts count="39">
    <font>
      <sz val="11"/>
      <color rgb="FF000000"/>
      <name val="Calibri"/>
      <scheme val="minor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sz val="22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333399"/>
      <name val="Calibri"/>
      <family val="2"/>
    </font>
    <font>
      <sz val="11"/>
      <color rgb="FF008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rgb="FF000000"/>
      <name val="Arial Rounded"/>
    </font>
    <font>
      <b/>
      <sz val="10"/>
      <color rgb="FF000000"/>
      <name val="Arial Rounded"/>
    </font>
    <font>
      <sz val="10"/>
      <color rgb="FF000000"/>
      <name val="Arial Rounded"/>
    </font>
    <font>
      <sz val="10"/>
      <color rgb="FFFFFFFF"/>
      <name val="Arial Rounded"/>
    </font>
    <font>
      <b/>
      <sz val="14"/>
      <color rgb="FF000000"/>
      <name val="Arial Rounded"/>
    </font>
    <font>
      <sz val="5"/>
      <color theme="0"/>
      <name val="Arial Rounded"/>
    </font>
    <font>
      <sz val="5"/>
      <color rgb="FF000000"/>
      <name val="Arial Rounded"/>
    </font>
    <font>
      <b/>
      <sz val="8"/>
      <color theme="0"/>
      <name val="Arial Rounded"/>
    </font>
    <font>
      <sz val="8"/>
      <color theme="0"/>
      <name val="Arial Rounded"/>
    </font>
    <font>
      <sz val="8"/>
      <color rgb="FF000000"/>
      <name val="Arial Rounded"/>
    </font>
    <font>
      <b/>
      <sz val="10"/>
      <color rgb="FFFFFFFF"/>
      <name val="Arial Rounded"/>
    </font>
    <font>
      <b/>
      <sz val="8"/>
      <color rgb="FF000000"/>
      <name val="Arial Rounded"/>
    </font>
    <font>
      <sz val="10"/>
      <color theme="1"/>
      <name val="Arial Rounded"/>
    </font>
    <font>
      <sz val="10"/>
      <color rgb="FF000000"/>
      <name val="Bell MT"/>
      <family val="1"/>
    </font>
    <font>
      <sz val="10"/>
      <color theme="0"/>
      <name val="Arial Rounded"/>
    </font>
    <font>
      <sz val="5"/>
      <color rgb="FF333333"/>
      <name val="Arial Rounded MT Bold"/>
      <family val="2"/>
    </font>
    <font>
      <sz val="8"/>
      <color rgb="FF000000"/>
      <name val="Arial Rounded MT Bold"/>
      <family val="2"/>
    </font>
    <font>
      <sz val="8"/>
      <color rgb="FF333333"/>
      <name val="Arial Rounded MT Bold"/>
      <family val="2"/>
    </font>
    <font>
      <sz val="5"/>
      <color rgb="FF000000"/>
      <name val="Arial Rounded MT Bold"/>
      <family val="2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Arial Rounded"/>
    </font>
    <font>
      <sz val="11"/>
      <name val="Calibri"/>
      <family val="2"/>
      <scheme val="minor"/>
    </font>
    <font>
      <b/>
      <sz val="10"/>
      <name val="Arial Rounded"/>
    </font>
    <font>
      <sz val="10"/>
      <name val="Arial Rounded"/>
    </font>
    <font>
      <b/>
      <sz val="14"/>
      <name val="Arial Rounded"/>
    </font>
    <font>
      <b/>
      <sz val="11"/>
      <color rgb="FF0070C0"/>
      <name val="Calibri"/>
      <family val="2"/>
      <scheme val="minor"/>
    </font>
    <font>
      <u/>
      <sz val="11"/>
      <color theme="10"/>
      <name val="Calibri"/>
      <scheme val="minor"/>
    </font>
    <font>
      <u/>
      <sz val="18"/>
      <color rgb="FF0070C0"/>
      <name val="Arial Black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CCFFCC"/>
        <bgColor rgb="FFCCFFCC"/>
      </patternFill>
    </fill>
    <fill>
      <patternFill patternType="solid">
        <fgColor rgb="FFFFFF00"/>
        <bgColor rgb="FFFFFF00"/>
      </patternFill>
    </fill>
    <fill>
      <patternFill patternType="solid">
        <fgColor rgb="FFFFCC99"/>
        <bgColor rgb="FFFFCC99"/>
      </patternFill>
    </fill>
    <fill>
      <patternFill patternType="solid">
        <fgColor rgb="FF339966"/>
        <bgColor rgb="FF339966"/>
      </patternFill>
    </fill>
    <fill>
      <patternFill patternType="solid">
        <fgColor rgb="FFFFFFFF"/>
        <bgColor rgb="FFFFFFFF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78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0C0C0"/>
      </left>
      <right/>
      <top style="thin">
        <color rgb="FFC0C0C0"/>
      </top>
      <bottom style="thin">
        <color rgb="FF808080"/>
      </bottom>
      <diagonal/>
    </border>
    <border>
      <left/>
      <right/>
      <top style="thin">
        <color rgb="FFC0C0C0"/>
      </top>
      <bottom style="thin">
        <color rgb="FF808080"/>
      </bottom>
      <diagonal/>
    </border>
    <border>
      <left/>
      <right style="thin">
        <color rgb="FFC0C0C0"/>
      </right>
      <top style="thin">
        <color rgb="FFC0C0C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37" fillId="0" borderId="0" applyNumberFormat="0" applyFill="0" applyBorder="0" applyAlignment="0" applyProtection="0"/>
  </cellStyleXfs>
  <cellXfs count="159">
    <xf numFmtId="0" fontId="0" fillId="0" borderId="0" xfId="0" applyAlignment="1">
      <alignment vertical="center"/>
    </xf>
    <xf numFmtId="0" fontId="2" fillId="0" borderId="0" xfId="0" applyFont="1"/>
    <xf numFmtId="0" fontId="4" fillId="0" borderId="0" xfId="0" applyFont="1" applyAlignment="1">
      <alignment vertical="center"/>
    </xf>
    <xf numFmtId="164" fontId="5" fillId="2" borderId="1" xfId="0" applyNumberFormat="1" applyFont="1" applyFill="1" applyBorder="1"/>
    <xf numFmtId="0" fontId="6" fillId="3" borderId="2" xfId="0" applyFont="1" applyFill="1" applyBorder="1"/>
    <xf numFmtId="0" fontId="7" fillId="0" borderId="3" xfId="0" applyFont="1" applyBorder="1"/>
    <xf numFmtId="0" fontId="7" fillId="0" borderId="4" xfId="0" applyFont="1" applyBorder="1"/>
    <xf numFmtId="0" fontId="7" fillId="0" borderId="0" xfId="0" applyFont="1"/>
    <xf numFmtId="14" fontId="2" fillId="2" borderId="1" xfId="0" applyNumberFormat="1" applyFont="1" applyFill="1" applyBorder="1" applyAlignment="1">
      <alignment horizontal="center"/>
    </xf>
    <xf numFmtId="2" fontId="5" fillId="2" borderId="1" xfId="0" applyNumberFormat="1" applyFont="1" applyFill="1" applyBorder="1"/>
    <xf numFmtId="0" fontId="2" fillId="0" borderId="9" xfId="0" applyFont="1" applyBorder="1"/>
    <xf numFmtId="0" fontId="2" fillId="0" borderId="10" xfId="0" applyFont="1" applyBorder="1"/>
    <xf numFmtId="0" fontId="2" fillId="0" borderId="12" xfId="0" applyFont="1" applyBorder="1"/>
    <xf numFmtId="0" fontId="2" fillId="0" borderId="13" xfId="0" applyFont="1" applyBorder="1"/>
    <xf numFmtId="0" fontId="2" fillId="2" borderId="1" xfId="0" applyFont="1" applyFill="1" applyBorder="1" applyAlignment="1">
      <alignment horizontal="center"/>
    </xf>
    <xf numFmtId="0" fontId="2" fillId="0" borderId="3" xfId="0" applyFont="1" applyBorder="1"/>
    <xf numFmtId="2" fontId="2" fillId="0" borderId="15" xfId="0" applyNumberFormat="1" applyFont="1" applyBorder="1"/>
    <xf numFmtId="0" fontId="7" fillId="0" borderId="16" xfId="0" applyFont="1" applyBorder="1"/>
    <xf numFmtId="0" fontId="2" fillId="0" borderId="17" xfId="0" applyFont="1" applyBorder="1"/>
    <xf numFmtId="164" fontId="2" fillId="0" borderId="15" xfId="0" applyNumberFormat="1" applyFont="1" applyBorder="1"/>
    <xf numFmtId="0" fontId="2" fillId="0" borderId="16" xfId="0" applyFont="1" applyBorder="1"/>
    <xf numFmtId="0" fontId="2" fillId="4" borderId="21" xfId="0" applyFont="1" applyFill="1" applyBorder="1"/>
    <xf numFmtId="2" fontId="2" fillId="4" borderId="22" xfId="0" applyNumberFormat="1" applyFont="1" applyFill="1" applyBorder="1"/>
    <xf numFmtId="0" fontId="7" fillId="4" borderId="23" xfId="0" applyFont="1" applyFill="1" applyBorder="1"/>
    <xf numFmtId="0" fontId="2" fillId="0" borderId="24" xfId="0" applyFont="1" applyBorder="1"/>
    <xf numFmtId="164" fontId="2" fillId="0" borderId="25" xfId="0" applyNumberFormat="1" applyFont="1" applyBorder="1"/>
    <xf numFmtId="0" fontId="2" fillId="0" borderId="21" xfId="0" applyFont="1" applyBorder="1"/>
    <xf numFmtId="2" fontId="2" fillId="0" borderId="25" xfId="0" applyNumberFormat="1" applyFont="1" applyBorder="1"/>
    <xf numFmtId="0" fontId="7" fillId="0" borderId="23" xfId="0" applyFont="1" applyBorder="1"/>
    <xf numFmtId="164" fontId="5" fillId="5" borderId="29" xfId="0" applyNumberFormat="1" applyFont="1" applyFill="1" applyBorder="1"/>
    <xf numFmtId="2" fontId="5" fillId="5" borderId="29" xfId="0" applyNumberFormat="1" applyFont="1" applyFill="1" applyBorder="1"/>
    <xf numFmtId="0" fontId="5" fillId="5" borderId="29" xfId="0" applyFont="1" applyFill="1" applyBorder="1"/>
    <xf numFmtId="0" fontId="2" fillId="0" borderId="34" xfId="0" applyFont="1" applyBorder="1"/>
    <xf numFmtId="164" fontId="2" fillId="0" borderId="35" xfId="0" applyNumberFormat="1" applyFont="1" applyBorder="1"/>
    <xf numFmtId="0" fontId="2" fillId="0" borderId="36" xfId="0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41" xfId="0" applyFont="1" applyBorder="1"/>
    <xf numFmtId="0" fontId="2" fillId="0" borderId="42" xfId="0" applyFont="1" applyBorder="1"/>
    <xf numFmtId="0" fontId="2" fillId="0" borderId="43" xfId="0" applyFont="1" applyBorder="1"/>
    <xf numFmtId="0" fontId="2" fillId="0" borderId="44" xfId="0" applyFont="1" applyBorder="1"/>
    <xf numFmtId="0" fontId="2" fillId="6" borderId="21" xfId="0" applyFont="1" applyFill="1" applyBorder="1"/>
    <xf numFmtId="2" fontId="2" fillId="6" borderId="22" xfId="0" applyNumberFormat="1" applyFont="1" applyFill="1" applyBorder="1"/>
    <xf numFmtId="0" fontId="7" fillId="6" borderId="23" xfId="0" applyFont="1" applyFill="1" applyBorder="1"/>
    <xf numFmtId="0" fontId="2" fillId="4" borderId="22" xfId="0" applyFont="1" applyFill="1" applyBorder="1"/>
    <xf numFmtId="0" fontId="2" fillId="0" borderId="25" xfId="0" applyFont="1" applyBorder="1"/>
    <xf numFmtId="0" fontId="9" fillId="0" borderId="0" xfId="0" applyFont="1"/>
    <xf numFmtId="0" fontId="2" fillId="0" borderId="35" xfId="0" applyFont="1" applyBorder="1"/>
    <xf numFmtId="0" fontId="7" fillId="0" borderId="45" xfId="0" applyFont="1" applyBorder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horizontal="right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12" fillId="0" borderId="4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right" vertical="center" wrapText="1"/>
    </xf>
    <xf numFmtId="2" fontId="18" fillId="0" borderId="0" xfId="0" applyNumberFormat="1" applyFont="1" applyAlignment="1">
      <alignment horizontal="center" vertical="center"/>
    </xf>
    <xf numFmtId="2" fontId="19" fillId="0" borderId="0" xfId="0" applyNumberFormat="1" applyFont="1" applyAlignment="1">
      <alignment horizontal="center"/>
    </xf>
    <xf numFmtId="0" fontId="11" fillId="0" borderId="3" xfId="0" applyFont="1" applyBorder="1"/>
    <xf numFmtId="164" fontId="12" fillId="0" borderId="4" xfId="0" applyNumberFormat="1" applyFont="1" applyBorder="1" applyAlignment="1">
      <alignment vertical="center"/>
    </xf>
    <xf numFmtId="0" fontId="20" fillId="0" borderId="46" xfId="0" applyFont="1" applyBorder="1" applyAlignment="1">
      <alignment horizontal="right" wrapText="1"/>
    </xf>
    <xf numFmtId="165" fontId="11" fillId="0" borderId="0" xfId="0" applyNumberFormat="1" applyFont="1" applyAlignment="1">
      <alignment horizontal="center" vertical="center" wrapText="1"/>
    </xf>
    <xf numFmtId="0" fontId="11" fillId="0" borderId="21" xfId="0" applyFont="1" applyBorder="1"/>
    <xf numFmtId="2" fontId="12" fillId="0" borderId="43" xfId="0" applyNumberFormat="1" applyFont="1" applyBorder="1" applyAlignment="1">
      <alignment vertical="center"/>
    </xf>
    <xf numFmtId="0" fontId="11" fillId="0" borderId="53" xfId="0" applyFont="1" applyBorder="1"/>
    <xf numFmtId="164" fontId="12" fillId="0" borderId="54" xfId="0" applyNumberFormat="1" applyFont="1" applyBorder="1" applyAlignment="1">
      <alignment vertical="center"/>
    </xf>
    <xf numFmtId="166" fontId="11" fillId="0" borderId="0" xfId="0" applyNumberFormat="1" applyFont="1" applyAlignment="1">
      <alignment horizontal="center"/>
    </xf>
    <xf numFmtId="166" fontId="12" fillId="0" borderId="0" xfId="0" applyNumberFormat="1" applyFont="1" applyAlignment="1">
      <alignment horizontal="center"/>
    </xf>
    <xf numFmtId="0" fontId="23" fillId="0" borderId="0" xfId="0" applyFont="1"/>
    <xf numFmtId="0" fontId="31" fillId="0" borderId="0" xfId="0" applyFont="1"/>
    <xf numFmtId="0" fontId="33" fillId="0" borderId="0" xfId="0" applyFont="1"/>
    <xf numFmtId="0" fontId="34" fillId="0" borderId="0" xfId="0" applyFont="1"/>
    <xf numFmtId="0" fontId="33" fillId="0" borderId="0" xfId="0" applyFont="1" applyAlignment="1">
      <alignment horizontal="right"/>
    </xf>
    <xf numFmtId="165" fontId="20" fillId="0" borderId="47" xfId="0" applyNumberFormat="1" applyFont="1" applyBorder="1"/>
    <xf numFmtId="0" fontId="29" fillId="0" borderId="0" xfId="0" applyFont="1" applyAlignment="1">
      <alignment vertical="center"/>
    </xf>
    <xf numFmtId="0" fontId="24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8" fillId="0" borderId="37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7" fillId="0" borderId="38" xfId="0" applyFont="1" applyBorder="1" applyAlignment="1">
      <alignment horizontal="center"/>
    </xf>
    <xf numFmtId="0" fontId="8" fillId="0" borderId="7" xfId="0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8" fillId="0" borderId="11" xfId="0" applyFont="1" applyBorder="1" applyAlignment="1">
      <alignment vertical="center"/>
    </xf>
    <xf numFmtId="0" fontId="7" fillId="0" borderId="6" xfId="0" applyFont="1" applyBorder="1" applyAlignment="1">
      <alignment horizontal="center"/>
    </xf>
    <xf numFmtId="165" fontId="2" fillId="2" borderId="18" xfId="0" applyNumberFormat="1" applyFont="1" applyFill="1" applyBorder="1" applyAlignment="1">
      <alignment horizontal="center"/>
    </xf>
    <xf numFmtId="0" fontId="8" fillId="0" borderId="19" xfId="0" applyFont="1" applyBorder="1" applyAlignment="1">
      <alignment vertical="center"/>
    </xf>
    <xf numFmtId="0" fontId="8" fillId="0" borderId="20" xfId="0" applyFont="1" applyBorder="1" applyAlignment="1">
      <alignment vertical="center"/>
    </xf>
    <xf numFmtId="9" fontId="2" fillId="2" borderId="26" xfId="0" applyNumberFormat="1" applyFont="1" applyFill="1" applyBorder="1" applyAlignment="1">
      <alignment horizontal="center"/>
    </xf>
    <xf numFmtId="0" fontId="8" fillId="0" borderId="27" xfId="0" applyFont="1" applyBorder="1" applyAlignment="1">
      <alignment vertical="center"/>
    </xf>
    <xf numFmtId="0" fontId="8" fillId="0" borderId="28" xfId="0" applyFont="1" applyBorder="1" applyAlignment="1">
      <alignment vertical="center"/>
    </xf>
    <xf numFmtId="0" fontId="36" fillId="8" borderId="0" xfId="0" applyFont="1" applyFill="1" applyAlignment="1">
      <alignment horizontal="center" vertical="center"/>
    </xf>
    <xf numFmtId="0" fontId="5" fillId="5" borderId="30" xfId="0" applyFont="1" applyFill="1" applyBorder="1" applyAlignment="1">
      <alignment horizontal="center"/>
    </xf>
    <xf numFmtId="0" fontId="8" fillId="0" borderId="31" xfId="0" applyFont="1" applyBorder="1" applyAlignment="1">
      <alignment vertical="center"/>
    </xf>
    <xf numFmtId="0" fontId="6" fillId="3" borderId="32" xfId="0" applyFont="1" applyFill="1" applyBorder="1" applyAlignment="1">
      <alignment horizontal="center"/>
    </xf>
    <xf numFmtId="0" fontId="8" fillId="0" borderId="33" xfId="0" applyFont="1" applyBorder="1" applyAlignment="1">
      <alignment vertical="center"/>
    </xf>
    <xf numFmtId="0" fontId="38" fillId="0" borderId="0" xfId="1" applyFont="1" applyAlignment="1">
      <alignment horizontal="center"/>
    </xf>
    <xf numFmtId="0" fontId="38" fillId="0" borderId="0" xfId="1" applyFont="1" applyAlignment="1">
      <alignment vertical="center"/>
    </xf>
    <xf numFmtId="166" fontId="12" fillId="7" borderId="75" xfId="0" applyNumberFormat="1" applyFont="1" applyFill="1" applyBorder="1" applyAlignment="1">
      <alignment horizontal="center"/>
    </xf>
    <xf numFmtId="0" fontId="8" fillId="0" borderId="76" xfId="0" applyFont="1" applyBorder="1" applyAlignment="1">
      <alignment vertical="center"/>
    </xf>
    <xf numFmtId="0" fontId="8" fillId="0" borderId="77" xfId="0" applyFont="1" applyBorder="1" applyAlignment="1">
      <alignment vertical="center"/>
    </xf>
    <xf numFmtId="0" fontId="11" fillId="0" borderId="55" xfId="0" applyFont="1" applyBorder="1" applyAlignment="1">
      <alignment horizontal="right"/>
    </xf>
    <xf numFmtId="0" fontId="8" fillId="0" borderId="56" xfId="0" applyFont="1" applyBorder="1" applyAlignment="1">
      <alignment vertical="center"/>
    </xf>
    <xf numFmtId="0" fontId="8" fillId="0" borderId="59" xfId="0" applyFont="1" applyBorder="1" applyAlignment="1">
      <alignment vertical="center"/>
    </xf>
    <xf numFmtId="166" fontId="11" fillId="0" borderId="55" xfId="0" applyNumberFormat="1" applyFont="1" applyBorder="1" applyAlignment="1">
      <alignment horizontal="center"/>
    </xf>
    <xf numFmtId="0" fontId="10" fillId="0" borderId="62" xfId="0" applyFont="1" applyBorder="1" applyAlignment="1">
      <alignment horizontal="left" vertical="center" wrapText="1"/>
    </xf>
    <xf numFmtId="10" fontId="13" fillId="0" borderId="51" xfId="0" applyNumberFormat="1" applyFont="1" applyBorder="1" applyAlignment="1">
      <alignment horizontal="center"/>
    </xf>
    <xf numFmtId="166" fontId="12" fillId="0" borderId="48" xfId="0" applyNumberFormat="1" applyFont="1" applyBorder="1" applyAlignment="1">
      <alignment horizontal="center"/>
    </xf>
    <xf numFmtId="0" fontId="8" fillId="0" borderId="47" xfId="0" applyFont="1" applyBorder="1" applyAlignment="1">
      <alignment vertical="center"/>
    </xf>
    <xf numFmtId="0" fontId="8" fillId="0" borderId="49" xfId="0" applyFont="1" applyBorder="1" applyAlignment="1">
      <alignment vertical="center"/>
    </xf>
    <xf numFmtId="0" fontId="10" fillId="0" borderId="62" xfId="0" applyFont="1" applyBorder="1" applyAlignment="1">
      <alignment horizontal="left"/>
    </xf>
    <xf numFmtId="10" fontId="13" fillId="0" borderId="0" xfId="0" applyNumberFormat="1" applyFont="1" applyAlignment="1">
      <alignment horizontal="center"/>
    </xf>
    <xf numFmtId="0" fontId="8" fillId="0" borderId="57" xfId="0" applyFont="1" applyBorder="1" applyAlignment="1">
      <alignment vertical="center"/>
    </xf>
    <xf numFmtId="166" fontId="11" fillId="0" borderId="58" xfId="0" applyNumberFormat="1" applyFont="1" applyBorder="1" applyAlignment="1">
      <alignment horizontal="center"/>
    </xf>
    <xf numFmtId="0" fontId="10" fillId="0" borderId="60" xfId="0" applyFont="1" applyBorder="1" applyAlignment="1">
      <alignment horizontal="left"/>
    </xf>
    <xf numFmtId="0" fontId="8" fillId="0" borderId="61" xfId="0" applyFont="1" applyBorder="1" applyAlignment="1">
      <alignment vertical="center"/>
    </xf>
    <xf numFmtId="166" fontId="12" fillId="0" borderId="51" xfId="0" applyNumberFormat="1" applyFont="1" applyBorder="1" applyAlignment="1">
      <alignment horizontal="center"/>
    </xf>
    <xf numFmtId="0" fontId="8" fillId="0" borderId="52" xfId="0" applyFont="1" applyBorder="1" applyAlignment="1">
      <alignment vertical="center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horizontal="center"/>
    </xf>
    <xf numFmtId="0" fontId="21" fillId="0" borderId="46" xfId="0" applyFont="1" applyBorder="1" applyAlignment="1">
      <alignment horizontal="right" vertical="center" wrapText="1"/>
    </xf>
    <xf numFmtId="0" fontId="8" fillId="0" borderId="50" xfId="0" applyFont="1" applyBorder="1" applyAlignment="1">
      <alignment vertical="center"/>
    </xf>
    <xf numFmtId="0" fontId="8" fillId="0" borderId="41" xfId="0" applyFont="1" applyBorder="1" applyAlignment="1">
      <alignment vertical="center"/>
    </xf>
    <xf numFmtId="165" fontId="11" fillId="0" borderId="48" xfId="0" applyNumberFormat="1" applyFont="1" applyBorder="1" applyAlignment="1">
      <alignment horizontal="center" vertical="center" wrapText="1"/>
    </xf>
    <xf numFmtId="0" fontId="8" fillId="0" borderId="51" xfId="0" applyFont="1" applyBorder="1" applyAlignment="1">
      <alignment vertical="center"/>
    </xf>
    <xf numFmtId="0" fontId="11" fillId="0" borderId="50" xfId="0" applyFont="1" applyBorder="1" applyAlignment="1">
      <alignment horizontal="center" vertical="top"/>
    </xf>
    <xf numFmtId="0" fontId="24" fillId="0" borderId="0" xfId="0" applyFont="1" applyAlignment="1">
      <alignment horizontal="right"/>
    </xf>
    <xf numFmtId="0" fontId="30" fillId="0" borderId="0" xfId="0" applyFont="1" applyAlignment="1">
      <alignment vertical="center"/>
    </xf>
    <xf numFmtId="0" fontId="33" fillId="0" borderId="0" xfId="0" applyFont="1" applyAlignment="1">
      <alignment horizontal="center"/>
    </xf>
    <xf numFmtId="0" fontId="32" fillId="0" borderId="0" xfId="0" applyFont="1" applyAlignment="1">
      <alignment vertical="center"/>
    </xf>
    <xf numFmtId="0" fontId="34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14" fontId="12" fillId="0" borderId="0" xfId="0" applyNumberFormat="1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1" fillId="0" borderId="65" xfId="0" applyFont="1" applyBorder="1" applyAlignment="1">
      <alignment horizontal="right"/>
    </xf>
    <xf numFmtId="0" fontId="8" fillId="0" borderId="66" xfId="0" applyFont="1" applyBorder="1" applyAlignment="1">
      <alignment vertical="center"/>
    </xf>
    <xf numFmtId="0" fontId="8" fillId="0" borderId="67" xfId="0" applyFont="1" applyBorder="1" applyAlignment="1">
      <alignment vertical="center"/>
    </xf>
    <xf numFmtId="0" fontId="11" fillId="0" borderId="68" xfId="0" applyFont="1" applyBorder="1" applyAlignment="1">
      <alignment horizontal="left" vertical="center"/>
    </xf>
    <xf numFmtId="0" fontId="8" fillId="0" borderId="69" xfId="0" applyFont="1" applyBorder="1" applyAlignment="1">
      <alignment vertical="center"/>
    </xf>
    <xf numFmtId="0" fontId="8" fillId="0" borderId="60" xfId="0" applyFont="1" applyBorder="1" applyAlignment="1">
      <alignment vertical="center"/>
    </xf>
    <xf numFmtId="0" fontId="11" fillId="0" borderId="70" xfId="0" applyFont="1" applyBorder="1" applyAlignment="1">
      <alignment horizontal="right"/>
    </xf>
    <xf numFmtId="166" fontId="12" fillId="7" borderId="71" xfId="0" applyNumberFormat="1" applyFont="1" applyFill="1" applyBorder="1" applyAlignment="1">
      <alignment horizontal="center"/>
    </xf>
    <xf numFmtId="0" fontId="8" fillId="0" borderId="72" xfId="0" applyFont="1" applyBorder="1" applyAlignment="1">
      <alignment vertical="center"/>
    </xf>
    <xf numFmtId="0" fontId="8" fillId="0" borderId="73" xfId="0" applyFont="1" applyBorder="1" applyAlignment="1">
      <alignment vertical="center"/>
    </xf>
    <xf numFmtId="0" fontId="11" fillId="0" borderId="74" xfId="0" applyFont="1" applyBorder="1" applyAlignment="1">
      <alignment horizontal="right"/>
    </xf>
    <xf numFmtId="0" fontId="8" fillId="0" borderId="12" xfId="0" applyFont="1" applyBorder="1" applyAlignment="1">
      <alignment vertical="center"/>
    </xf>
    <xf numFmtId="10" fontId="12" fillId="0" borderId="51" xfId="0" applyNumberFormat="1" applyFont="1" applyBorder="1" applyAlignment="1">
      <alignment horizontal="right"/>
    </xf>
    <xf numFmtId="166" fontId="12" fillId="0" borderId="58" xfId="0" applyNumberFormat="1" applyFont="1" applyBorder="1" applyAlignment="1">
      <alignment horizontal="center"/>
    </xf>
    <xf numFmtId="0" fontId="10" fillId="0" borderId="63" xfId="0" applyFont="1" applyBorder="1" applyAlignment="1">
      <alignment horizontal="right"/>
    </xf>
    <xf numFmtId="0" fontId="8" fillId="0" borderId="64" xfId="0" applyFont="1" applyBorder="1" applyAlignment="1">
      <alignment vertical="center"/>
    </xf>
    <xf numFmtId="165" fontId="22" fillId="9" borderId="0" xfId="0" applyNumberFormat="1" applyFont="1" applyFill="1" applyAlignment="1">
      <alignment horizontal="center" vertical="top"/>
    </xf>
    <xf numFmtId="0" fontId="0" fillId="9" borderId="0" xfId="0" applyFill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4F81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28168</xdr:colOff>
      <xdr:row>2</xdr:row>
      <xdr:rowOff>152986</xdr:rowOff>
    </xdr:from>
    <xdr:to>
      <xdr:col>11</xdr:col>
      <xdr:colOff>685070</xdr:colOff>
      <xdr:row>8</xdr:row>
      <xdr:rowOff>97675</xdr:rowOff>
    </xdr:to>
    <xdr:sp macro="" textlink="">
      <xdr:nvSpPr>
        <xdr:cNvPr id="2" name="Flecha: hacia la izquierda 1">
          <a:extLst>
            <a:ext uri="{FF2B5EF4-FFF2-40B4-BE49-F238E27FC236}">
              <a16:creationId xmlns:a16="http://schemas.microsoft.com/office/drawing/2014/main" id="{765DFE70-6A6B-4D39-8E9D-6063BE546642}"/>
            </a:ext>
          </a:extLst>
        </xdr:cNvPr>
        <xdr:cNvSpPr/>
      </xdr:nvSpPr>
      <xdr:spPr>
        <a:xfrm rot="21224257">
          <a:off x="5822139" y="535371"/>
          <a:ext cx="3549731" cy="1091846"/>
        </a:xfrm>
        <a:prstGeom prst="leftArrow">
          <a:avLst/>
        </a:prstGeom>
        <a:solidFill>
          <a:srgbClr val="4F81BD">
            <a:alpha val="47059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>
              <a:solidFill>
                <a:srgbClr val="FF0000"/>
              </a:solidFill>
            </a:rPr>
            <a:t>despues</a:t>
          </a:r>
          <a:r>
            <a:rPr lang="es-MX" sz="1100" baseline="0">
              <a:solidFill>
                <a:srgbClr val="FF0000"/>
              </a:solidFill>
            </a:rPr>
            <a:t> del punto son decimales o lo tomas como entero ,  lo tome como entero y los ceros decimales</a:t>
          </a:r>
          <a:endParaRPr lang="es-MX" sz="1100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16624</xdr:colOff>
      <xdr:row>20</xdr:row>
      <xdr:rowOff>232756</xdr:rowOff>
    </xdr:from>
    <xdr:to>
      <xdr:col>13</xdr:col>
      <xdr:colOff>133199</xdr:colOff>
      <xdr:row>26</xdr:row>
      <xdr:rowOff>86006</xdr:rowOff>
    </xdr:to>
    <xdr:sp macro="" textlink="">
      <xdr:nvSpPr>
        <xdr:cNvPr id="2" name="Flecha: hacia la izquierda 1">
          <a:extLst>
            <a:ext uri="{FF2B5EF4-FFF2-40B4-BE49-F238E27FC236}">
              <a16:creationId xmlns:a16="http://schemas.microsoft.com/office/drawing/2014/main" id="{F23390BB-04AB-465F-8BC5-027677D92E19}"/>
            </a:ext>
          </a:extLst>
        </xdr:cNvPr>
        <xdr:cNvSpPr/>
      </xdr:nvSpPr>
      <xdr:spPr>
        <a:xfrm rot="21224257">
          <a:off x="5270268" y="4621876"/>
          <a:ext cx="3549731" cy="1091846"/>
        </a:xfrm>
        <a:prstGeom prst="leftArrow">
          <a:avLst/>
        </a:prstGeom>
        <a:solidFill>
          <a:srgbClr val="4F81BD">
            <a:alpha val="47059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>
              <a:solidFill>
                <a:srgbClr val="FF0000"/>
              </a:solidFill>
            </a:rPr>
            <a:t>aqui</a:t>
          </a:r>
          <a:r>
            <a:rPr lang="es-MX" sz="1100" baseline="0">
              <a:solidFill>
                <a:srgbClr val="FF0000"/>
              </a:solidFill>
            </a:rPr>
            <a:t> tampoco aplicas el redondeo sugerido como en valorizacion de icc plata</a:t>
          </a:r>
          <a:endParaRPr lang="es-MX" sz="110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Z1000"/>
  <sheetViews>
    <sheetView showGridLines="0" workbookViewId="0">
      <selection activeCell="B13" sqref="B13:B14"/>
    </sheetView>
  </sheetViews>
  <sheetFormatPr baseColWidth="10" defaultColWidth="14.44140625" defaultRowHeight="15.05" customHeight="1"/>
  <cols>
    <col min="1" max="1" width="19.44140625" customWidth="1"/>
    <col min="2" max="2" width="31.44140625" customWidth="1"/>
    <col min="3" max="3" width="2.5546875" customWidth="1"/>
    <col min="4" max="4" width="10" customWidth="1"/>
    <col min="5" max="5" width="7.109375" customWidth="1"/>
    <col min="6" max="7" width="3.44140625" customWidth="1"/>
    <col min="8" max="8" width="7.6640625" customWidth="1"/>
    <col min="9" max="9" width="10" customWidth="1"/>
    <col min="10" max="10" width="11" customWidth="1"/>
    <col min="11" max="26" width="10" customWidth="1"/>
  </cols>
  <sheetData>
    <row r="1" spans="1:26">
      <c r="A1" s="86" t="s">
        <v>58</v>
      </c>
      <c r="B1" s="87"/>
      <c r="C1" s="87"/>
      <c r="D1" s="87"/>
      <c r="E1" s="87"/>
      <c r="F1" s="87"/>
      <c r="G1" s="8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87"/>
      <c r="B2" s="87"/>
      <c r="C2" s="87"/>
      <c r="D2" s="87"/>
      <c r="E2" s="87"/>
      <c r="F2" s="87"/>
      <c r="G2" s="8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88" t="s">
        <v>0</v>
      </c>
      <c r="B3" s="87"/>
      <c r="D3" s="2" t="s">
        <v>1</v>
      </c>
    </row>
    <row r="4" spans="1:26">
      <c r="A4" s="87"/>
      <c r="B4" s="87"/>
      <c r="D4" s="2" t="s">
        <v>2</v>
      </c>
      <c r="E4" s="3">
        <v>5</v>
      </c>
      <c r="G4" s="4">
        <v>0</v>
      </c>
      <c r="I4" s="5" t="s">
        <v>3</v>
      </c>
      <c r="J4" s="6" t="s">
        <v>4</v>
      </c>
      <c r="K4" s="89" t="s">
        <v>5</v>
      </c>
      <c r="L4" s="91" t="s">
        <v>6</v>
      </c>
      <c r="M4" s="83"/>
      <c r="N4" s="84" t="s">
        <v>7</v>
      </c>
    </row>
    <row r="5" spans="1:26">
      <c r="A5" s="7" t="s">
        <v>8</v>
      </c>
      <c r="B5" s="8">
        <f ca="1">+TODAY()</f>
        <v>46253</v>
      </c>
      <c r="D5" s="2" t="s">
        <v>9</v>
      </c>
      <c r="E5" s="9">
        <v>6.5</v>
      </c>
      <c r="G5" s="4">
        <v>2</v>
      </c>
      <c r="I5" s="10" t="s">
        <v>10</v>
      </c>
      <c r="J5" s="11" t="s">
        <v>11</v>
      </c>
      <c r="K5" s="90"/>
      <c r="L5" s="12" t="s">
        <v>12</v>
      </c>
      <c r="M5" s="13" t="s">
        <v>13</v>
      </c>
      <c r="N5" s="85"/>
    </row>
    <row r="6" spans="1:26">
      <c r="A6" s="7" t="s">
        <v>14</v>
      </c>
      <c r="B6" s="14" t="s">
        <v>59</v>
      </c>
      <c r="D6" s="2" t="s">
        <v>15</v>
      </c>
      <c r="E6" s="3">
        <v>13</v>
      </c>
      <c r="G6" s="4">
        <v>0</v>
      </c>
      <c r="I6" s="15">
        <v>0</v>
      </c>
      <c r="J6" s="16">
        <v>5.5</v>
      </c>
      <c r="K6" s="17">
        <f t="shared" ref="K6:K51" si="0">I6*J6</f>
        <v>0</v>
      </c>
      <c r="L6" s="18">
        <v>0</v>
      </c>
      <c r="M6" s="19">
        <v>0</v>
      </c>
      <c r="N6" s="20">
        <f t="shared" ref="N6:N14" si="1">L6*M6</f>
        <v>0</v>
      </c>
    </row>
    <row r="7" spans="1:26">
      <c r="A7" s="7" t="s">
        <v>16</v>
      </c>
      <c r="B7" s="14" t="s">
        <v>60</v>
      </c>
      <c r="D7" s="2" t="s">
        <v>17</v>
      </c>
      <c r="E7" s="92">
        <v>450</v>
      </c>
      <c r="F7" s="93"/>
      <c r="G7" s="94"/>
      <c r="I7" s="21">
        <v>6</v>
      </c>
      <c r="J7" s="22">
        <v>6</v>
      </c>
      <c r="K7" s="23">
        <f t="shared" si="0"/>
        <v>36</v>
      </c>
      <c r="L7" s="24">
        <v>1</v>
      </c>
      <c r="M7" s="25">
        <v>2</v>
      </c>
      <c r="N7" s="20">
        <f t="shared" si="1"/>
        <v>2</v>
      </c>
    </row>
    <row r="8" spans="1:26">
      <c r="A8" s="7" t="s">
        <v>18</v>
      </c>
      <c r="B8" s="14" t="s">
        <v>19</v>
      </c>
      <c r="D8" s="1" t="s">
        <v>20</v>
      </c>
      <c r="E8" s="95">
        <v>0.05</v>
      </c>
      <c r="F8" s="96"/>
      <c r="G8" s="97"/>
      <c r="I8" s="26">
        <f t="shared" ref="I8:I51" si="2">I7+1</f>
        <v>7</v>
      </c>
      <c r="J8" s="27">
        <v>9</v>
      </c>
      <c r="K8" s="28">
        <f t="shared" si="0"/>
        <v>63</v>
      </c>
      <c r="L8" s="24">
        <f t="shared" ref="L8:L14" si="3">L7+1</f>
        <v>2</v>
      </c>
      <c r="M8" s="25">
        <v>8</v>
      </c>
      <c r="N8" s="20">
        <f t="shared" si="1"/>
        <v>16</v>
      </c>
    </row>
    <row r="9" spans="1:26">
      <c r="A9" s="7" t="s">
        <v>21</v>
      </c>
      <c r="B9" s="14" t="s">
        <v>61</v>
      </c>
      <c r="D9" s="29">
        <f>E4-G4</f>
        <v>5</v>
      </c>
      <c r="E9" s="30">
        <f>LOOKUP(D9,I6:I51,J6:J51)</f>
        <v>5.5</v>
      </c>
      <c r="F9" s="99">
        <f>E9*D9</f>
        <v>27.5</v>
      </c>
      <c r="G9" s="100"/>
      <c r="I9" s="26">
        <f t="shared" si="2"/>
        <v>8</v>
      </c>
      <c r="J9" s="27">
        <v>7.5</v>
      </c>
      <c r="K9" s="28">
        <f t="shared" si="0"/>
        <v>60</v>
      </c>
      <c r="L9" s="24">
        <f t="shared" si="3"/>
        <v>3</v>
      </c>
      <c r="M9" s="25">
        <v>5</v>
      </c>
      <c r="N9" s="20">
        <f t="shared" si="1"/>
        <v>15</v>
      </c>
    </row>
    <row r="10" spans="1:26">
      <c r="A10" s="7" t="s">
        <v>22</v>
      </c>
      <c r="B10" s="14">
        <v>334</v>
      </c>
      <c r="D10" s="30">
        <f>E5-G5</f>
        <v>4.5</v>
      </c>
      <c r="E10" s="29">
        <f>LOOKUP(D10,L6:L14,M6:M14)</f>
        <v>5.2</v>
      </c>
      <c r="F10" s="99">
        <f>E10*D10</f>
        <v>23.400000000000002</v>
      </c>
      <c r="G10" s="100"/>
      <c r="I10" s="26">
        <f t="shared" si="2"/>
        <v>9</v>
      </c>
      <c r="J10" s="27">
        <v>8.3000000000000007</v>
      </c>
      <c r="K10" s="28">
        <f t="shared" si="0"/>
        <v>74.7</v>
      </c>
      <c r="L10" s="24">
        <f t="shared" si="3"/>
        <v>4</v>
      </c>
      <c r="M10" s="25">
        <v>5.2</v>
      </c>
      <c r="N10" s="20">
        <f t="shared" si="1"/>
        <v>20.8</v>
      </c>
    </row>
    <row r="11" spans="1:26">
      <c r="D11" s="29">
        <f>E6-G6</f>
        <v>13</v>
      </c>
      <c r="E11" s="31">
        <f>LOOKUP(D11,L18:L30,M18:M30)</f>
        <v>8</v>
      </c>
      <c r="F11" s="99">
        <f>D11*E11</f>
        <v>104</v>
      </c>
      <c r="G11" s="100"/>
      <c r="I11" s="26">
        <f t="shared" si="2"/>
        <v>10</v>
      </c>
      <c r="J11" s="27">
        <v>9.3000000000000007</v>
      </c>
      <c r="K11" s="28">
        <f t="shared" si="0"/>
        <v>93</v>
      </c>
      <c r="L11" s="24">
        <f t="shared" si="3"/>
        <v>5</v>
      </c>
      <c r="M11" s="25">
        <v>5.5</v>
      </c>
      <c r="N11" s="20">
        <f t="shared" si="1"/>
        <v>27.5</v>
      </c>
    </row>
    <row r="12" spans="1:26">
      <c r="F12" s="101">
        <f>F9+F10+F11</f>
        <v>154.9</v>
      </c>
      <c r="G12" s="102"/>
      <c r="I12" s="26">
        <f t="shared" si="2"/>
        <v>11</v>
      </c>
      <c r="J12" s="27">
        <v>10</v>
      </c>
      <c r="K12" s="28">
        <f t="shared" si="0"/>
        <v>110</v>
      </c>
      <c r="L12" s="24">
        <f t="shared" si="3"/>
        <v>6</v>
      </c>
      <c r="M12" s="25">
        <v>6</v>
      </c>
      <c r="N12" s="20">
        <f t="shared" si="1"/>
        <v>36</v>
      </c>
    </row>
    <row r="13" spans="1:26" ht="16.55" customHeight="1">
      <c r="B13" s="103" t="s">
        <v>69</v>
      </c>
      <c r="D13" s="77" t="s">
        <v>62</v>
      </c>
      <c r="F13" s="98">
        <v>6.86</v>
      </c>
      <c r="G13" s="98"/>
      <c r="I13" s="26">
        <f t="shared" si="2"/>
        <v>12</v>
      </c>
      <c r="J13" s="27">
        <v>10.1</v>
      </c>
      <c r="K13" s="28">
        <f t="shared" si="0"/>
        <v>121.19999999999999</v>
      </c>
      <c r="L13" s="24">
        <f t="shared" si="3"/>
        <v>7</v>
      </c>
      <c r="M13" s="25">
        <v>6.2</v>
      </c>
      <c r="N13" s="20">
        <f t="shared" si="1"/>
        <v>43.4</v>
      </c>
    </row>
    <row r="14" spans="1:26">
      <c r="A14" s="1"/>
      <c r="B14" s="104"/>
      <c r="C14" s="1"/>
      <c r="D14" s="1"/>
      <c r="E14" s="1"/>
      <c r="F14" s="1"/>
      <c r="G14" s="1"/>
      <c r="H14" s="1"/>
      <c r="I14" s="26">
        <f t="shared" si="2"/>
        <v>13</v>
      </c>
      <c r="J14" s="27">
        <v>10.3</v>
      </c>
      <c r="K14" s="28">
        <f t="shared" si="0"/>
        <v>133.9</v>
      </c>
      <c r="L14" s="32">
        <f t="shared" si="3"/>
        <v>8</v>
      </c>
      <c r="M14" s="33">
        <v>6.5</v>
      </c>
      <c r="N14" s="34">
        <f t="shared" si="1"/>
        <v>52</v>
      </c>
    </row>
    <row r="15" spans="1:26">
      <c r="A15" s="1"/>
      <c r="B15" s="1"/>
      <c r="C15" s="1"/>
      <c r="D15" s="1"/>
      <c r="E15" s="79"/>
      <c r="F15" s="80"/>
      <c r="G15" s="81"/>
      <c r="H15" s="1"/>
      <c r="I15" s="26">
        <f t="shared" si="2"/>
        <v>14</v>
      </c>
      <c r="J15" s="27">
        <v>10.5</v>
      </c>
      <c r="K15" s="28">
        <f t="shared" si="0"/>
        <v>147</v>
      </c>
    </row>
    <row r="16" spans="1:26">
      <c r="A16" s="1"/>
      <c r="B16" s="1"/>
      <c r="C16" s="1"/>
      <c r="D16" s="1"/>
      <c r="E16" s="1"/>
      <c r="F16" s="1"/>
      <c r="G16" s="1"/>
      <c r="H16" s="1"/>
      <c r="I16" s="21">
        <f t="shared" si="2"/>
        <v>15</v>
      </c>
      <c r="J16" s="22">
        <v>10.65</v>
      </c>
      <c r="K16" s="23">
        <f t="shared" si="0"/>
        <v>159.75</v>
      </c>
      <c r="L16" s="82" t="s">
        <v>23</v>
      </c>
      <c r="M16" s="83"/>
      <c r="N16" s="84" t="s">
        <v>24</v>
      </c>
    </row>
    <row r="17" spans="1:14">
      <c r="A17" s="1"/>
      <c r="B17" s="1"/>
      <c r="C17" s="1"/>
      <c r="E17" s="1"/>
      <c r="F17" s="1"/>
      <c r="G17" s="1"/>
      <c r="H17" s="1"/>
      <c r="I17" s="26">
        <f t="shared" si="2"/>
        <v>16</v>
      </c>
      <c r="J17" s="27">
        <v>11.1</v>
      </c>
      <c r="K17" s="28">
        <f t="shared" si="0"/>
        <v>177.6</v>
      </c>
      <c r="L17" s="10" t="s">
        <v>25</v>
      </c>
      <c r="M17" s="35" t="s">
        <v>11</v>
      </c>
      <c r="N17" s="85"/>
    </row>
    <row r="18" spans="1:14">
      <c r="A18" s="1"/>
      <c r="B18" s="1"/>
      <c r="C18" s="1"/>
      <c r="E18" s="1"/>
      <c r="F18" s="1"/>
      <c r="G18" s="1"/>
      <c r="H18" s="1"/>
      <c r="I18" s="26">
        <f t="shared" si="2"/>
        <v>17</v>
      </c>
      <c r="J18" s="27">
        <v>11.5</v>
      </c>
      <c r="K18" s="28">
        <f t="shared" si="0"/>
        <v>195.5</v>
      </c>
      <c r="L18" s="36">
        <v>0</v>
      </c>
      <c r="M18" s="37">
        <v>3.7</v>
      </c>
      <c r="N18" s="38">
        <f t="shared" ref="N18:N30" si="4">L18*M18</f>
        <v>0</v>
      </c>
    </row>
    <row r="19" spans="1:14">
      <c r="D19" s="1"/>
      <c r="I19" s="26">
        <f t="shared" si="2"/>
        <v>18</v>
      </c>
      <c r="J19" s="27">
        <v>11.6</v>
      </c>
      <c r="K19" s="28">
        <f t="shared" si="0"/>
        <v>208.79999999999998</v>
      </c>
      <c r="L19" s="26">
        <v>6</v>
      </c>
      <c r="M19" s="39">
        <v>5</v>
      </c>
      <c r="N19" s="40">
        <f t="shared" si="4"/>
        <v>30</v>
      </c>
    </row>
    <row r="20" spans="1:14">
      <c r="D20" s="1"/>
      <c r="I20" s="26">
        <f t="shared" si="2"/>
        <v>19</v>
      </c>
      <c r="J20" s="27">
        <v>11.9</v>
      </c>
      <c r="K20" s="28">
        <f t="shared" si="0"/>
        <v>226.1</v>
      </c>
      <c r="L20" s="26">
        <v>8</v>
      </c>
      <c r="M20" s="39">
        <v>6</v>
      </c>
      <c r="N20" s="40">
        <f t="shared" si="4"/>
        <v>48</v>
      </c>
    </row>
    <row r="21" spans="1:14" ht="15.75" customHeight="1">
      <c r="I21" s="21">
        <f t="shared" si="2"/>
        <v>20</v>
      </c>
      <c r="J21" s="22">
        <v>12</v>
      </c>
      <c r="K21" s="23">
        <f t="shared" si="0"/>
        <v>240</v>
      </c>
      <c r="L21" s="26">
        <v>10</v>
      </c>
      <c r="M21" s="39">
        <v>7</v>
      </c>
      <c r="N21" s="40">
        <f t="shared" si="4"/>
        <v>70</v>
      </c>
    </row>
    <row r="22" spans="1:14" ht="15.75" customHeight="1">
      <c r="I22" s="26">
        <f t="shared" si="2"/>
        <v>21</v>
      </c>
      <c r="J22" s="27">
        <v>12.3</v>
      </c>
      <c r="K22" s="28">
        <f t="shared" si="0"/>
        <v>258.3</v>
      </c>
      <c r="L22" s="26">
        <v>12</v>
      </c>
      <c r="M22" s="39">
        <v>8</v>
      </c>
      <c r="N22" s="40">
        <f t="shared" si="4"/>
        <v>96</v>
      </c>
    </row>
    <row r="23" spans="1:14" ht="15.75" customHeight="1">
      <c r="I23" s="26">
        <f t="shared" si="2"/>
        <v>22</v>
      </c>
      <c r="J23" s="27">
        <v>12.5</v>
      </c>
      <c r="K23" s="28">
        <f t="shared" si="0"/>
        <v>275</v>
      </c>
      <c r="L23" s="26">
        <v>14</v>
      </c>
      <c r="M23" s="39">
        <v>9</v>
      </c>
      <c r="N23" s="40">
        <f t="shared" si="4"/>
        <v>126</v>
      </c>
    </row>
    <row r="24" spans="1:14" ht="15.75" customHeight="1">
      <c r="I24" s="26">
        <f t="shared" si="2"/>
        <v>23</v>
      </c>
      <c r="J24" s="27">
        <v>12.6</v>
      </c>
      <c r="K24" s="28">
        <f t="shared" si="0"/>
        <v>289.8</v>
      </c>
      <c r="L24" s="26">
        <v>16</v>
      </c>
      <c r="M24" s="39">
        <v>10</v>
      </c>
      <c r="N24" s="40">
        <f t="shared" si="4"/>
        <v>160</v>
      </c>
    </row>
    <row r="25" spans="1:14" ht="15.75" customHeight="1">
      <c r="I25" s="26">
        <f t="shared" si="2"/>
        <v>24</v>
      </c>
      <c r="J25" s="27">
        <v>12.7</v>
      </c>
      <c r="K25" s="28">
        <f t="shared" si="0"/>
        <v>304.79999999999995</v>
      </c>
      <c r="L25" s="26">
        <v>18</v>
      </c>
      <c r="M25" s="39">
        <v>11.5</v>
      </c>
      <c r="N25" s="40">
        <f t="shared" si="4"/>
        <v>207</v>
      </c>
    </row>
    <row r="26" spans="1:14" ht="15.75" customHeight="1">
      <c r="I26" s="26">
        <f t="shared" si="2"/>
        <v>25</v>
      </c>
      <c r="J26" s="27">
        <v>12.8</v>
      </c>
      <c r="K26" s="28">
        <f t="shared" si="0"/>
        <v>320</v>
      </c>
      <c r="L26" s="26">
        <v>20</v>
      </c>
      <c r="M26" s="39">
        <v>4.5999999999999996</v>
      </c>
      <c r="N26" s="40">
        <f t="shared" si="4"/>
        <v>92</v>
      </c>
    </row>
    <row r="27" spans="1:14" ht="15.75" customHeight="1">
      <c r="I27" s="26">
        <f t="shared" si="2"/>
        <v>26</v>
      </c>
      <c r="J27" s="27">
        <v>12.9</v>
      </c>
      <c r="K27" s="28">
        <f t="shared" si="0"/>
        <v>335.40000000000003</v>
      </c>
      <c r="L27" s="26">
        <v>22</v>
      </c>
      <c r="M27" s="39">
        <v>4.5999999999999996</v>
      </c>
      <c r="N27" s="40">
        <f t="shared" si="4"/>
        <v>101.19999999999999</v>
      </c>
    </row>
    <row r="28" spans="1:14" ht="15.75" customHeight="1">
      <c r="I28" s="26">
        <f t="shared" si="2"/>
        <v>27</v>
      </c>
      <c r="J28" s="27">
        <v>13</v>
      </c>
      <c r="K28" s="28">
        <f t="shared" si="0"/>
        <v>351</v>
      </c>
      <c r="L28" s="26">
        <v>24</v>
      </c>
      <c r="M28" s="39">
        <v>4.8</v>
      </c>
      <c r="N28" s="40">
        <f t="shared" si="4"/>
        <v>115.19999999999999</v>
      </c>
    </row>
    <row r="29" spans="1:14" ht="15.75" customHeight="1">
      <c r="I29" s="26">
        <f t="shared" si="2"/>
        <v>28</v>
      </c>
      <c r="J29" s="27">
        <v>13.1</v>
      </c>
      <c r="K29" s="28">
        <f t="shared" si="0"/>
        <v>366.8</v>
      </c>
      <c r="L29" s="26">
        <v>26</v>
      </c>
      <c r="M29" s="39">
        <v>5</v>
      </c>
      <c r="N29" s="40">
        <f t="shared" si="4"/>
        <v>130</v>
      </c>
    </row>
    <row r="30" spans="1:14" ht="15.75" customHeight="1">
      <c r="I30" s="26">
        <f t="shared" si="2"/>
        <v>29</v>
      </c>
      <c r="J30" s="27">
        <v>13.2</v>
      </c>
      <c r="K30" s="28">
        <f t="shared" si="0"/>
        <v>382.79999999999995</v>
      </c>
      <c r="L30" s="10">
        <v>28</v>
      </c>
      <c r="M30" s="11">
        <v>5.2</v>
      </c>
      <c r="N30" s="35">
        <f t="shared" si="4"/>
        <v>145.6</v>
      </c>
    </row>
    <row r="31" spans="1:14" ht="15.75" customHeight="1">
      <c r="I31" s="26">
        <f t="shared" si="2"/>
        <v>30</v>
      </c>
      <c r="J31" s="27">
        <v>14.5</v>
      </c>
      <c r="K31" s="28">
        <f t="shared" si="0"/>
        <v>435</v>
      </c>
      <c r="L31" s="1"/>
      <c r="M31" s="1"/>
      <c r="N31" s="1"/>
    </row>
    <row r="32" spans="1:14" ht="15.75" customHeight="1">
      <c r="I32" s="21">
        <f t="shared" si="2"/>
        <v>31</v>
      </c>
      <c r="J32" s="22">
        <v>14.6</v>
      </c>
      <c r="K32" s="23">
        <f t="shared" si="0"/>
        <v>452.59999999999997</v>
      </c>
      <c r="L32" s="1"/>
      <c r="M32" s="1"/>
      <c r="N32" s="1"/>
    </row>
    <row r="33" spans="9:21" ht="15.75" customHeight="1">
      <c r="I33" s="26">
        <f t="shared" si="2"/>
        <v>32</v>
      </c>
      <c r="J33" s="27">
        <f>J32+0.05</f>
        <v>14.65</v>
      </c>
      <c r="K33" s="28">
        <f t="shared" si="0"/>
        <v>468.8</v>
      </c>
      <c r="L33" s="1"/>
      <c r="M33" s="1"/>
      <c r="N33" s="1"/>
    </row>
    <row r="34" spans="9:21" ht="15.75" customHeight="1">
      <c r="I34" s="26">
        <f t="shared" si="2"/>
        <v>33</v>
      </c>
      <c r="J34" s="27">
        <f>J33+0.05</f>
        <v>14.700000000000001</v>
      </c>
      <c r="K34" s="28">
        <f t="shared" si="0"/>
        <v>485.1</v>
      </c>
      <c r="L34" s="1"/>
      <c r="M34" s="1"/>
      <c r="N34" s="1"/>
    </row>
    <row r="35" spans="9:21" ht="15.75" customHeight="1">
      <c r="I35" s="26">
        <f t="shared" si="2"/>
        <v>34</v>
      </c>
      <c r="J35" s="27">
        <f>J34+0.05</f>
        <v>14.750000000000002</v>
      </c>
      <c r="K35" s="28">
        <f t="shared" si="0"/>
        <v>501.50000000000006</v>
      </c>
      <c r="L35" s="1"/>
      <c r="M35" s="1"/>
      <c r="N35" s="1"/>
    </row>
    <row r="36" spans="9:21" ht="15.75" customHeight="1">
      <c r="I36" s="26">
        <f t="shared" si="2"/>
        <v>35</v>
      </c>
      <c r="J36" s="27">
        <f>J35+0.05</f>
        <v>14.800000000000002</v>
      </c>
      <c r="K36" s="28">
        <f t="shared" si="0"/>
        <v>518.00000000000011</v>
      </c>
      <c r="L36" s="1"/>
      <c r="M36" s="1"/>
      <c r="N36" s="1"/>
    </row>
    <row r="37" spans="9:21" ht="15.75" customHeight="1">
      <c r="I37" s="41">
        <f t="shared" si="2"/>
        <v>36</v>
      </c>
      <c r="J37" s="42">
        <f>J36+0.044</f>
        <v>14.844000000000003</v>
      </c>
      <c r="K37" s="43">
        <f t="shared" si="0"/>
        <v>534.38400000000013</v>
      </c>
      <c r="L37" s="1"/>
      <c r="M37" s="1"/>
      <c r="N37" s="1"/>
    </row>
    <row r="38" spans="9:21" ht="15.75" customHeight="1">
      <c r="I38" s="26">
        <f t="shared" si="2"/>
        <v>37</v>
      </c>
      <c r="J38" s="27">
        <f>J37+0.014</f>
        <v>14.858000000000002</v>
      </c>
      <c r="K38" s="28">
        <f t="shared" si="0"/>
        <v>549.74600000000009</v>
      </c>
      <c r="L38" s="1"/>
      <c r="M38" s="1"/>
      <c r="N38" s="1"/>
    </row>
    <row r="39" spans="9:21" ht="15.75" customHeight="1">
      <c r="I39" s="21">
        <f t="shared" si="2"/>
        <v>38</v>
      </c>
      <c r="J39" s="22">
        <f>J38+0.013</f>
        <v>14.871000000000002</v>
      </c>
      <c r="K39" s="23">
        <f t="shared" si="0"/>
        <v>565.09800000000007</v>
      </c>
      <c r="L39" s="1"/>
      <c r="M39" s="1"/>
      <c r="N39" s="1"/>
    </row>
    <row r="40" spans="9:21" ht="15.75" customHeight="1">
      <c r="I40" s="26">
        <f t="shared" si="2"/>
        <v>39</v>
      </c>
      <c r="J40" s="27">
        <f>J39+0.001</f>
        <v>14.872000000000002</v>
      </c>
      <c r="K40" s="28">
        <f t="shared" si="0"/>
        <v>580.00800000000004</v>
      </c>
      <c r="L40" s="1"/>
      <c r="M40" s="1"/>
      <c r="N40" s="1"/>
    </row>
    <row r="41" spans="9:21" ht="15.75" customHeight="1">
      <c r="I41" s="21">
        <f t="shared" si="2"/>
        <v>40</v>
      </c>
      <c r="J41" s="44">
        <v>5.3730000000000002</v>
      </c>
      <c r="K41" s="23">
        <f t="shared" si="0"/>
        <v>214.92000000000002</v>
      </c>
      <c r="L41" s="1"/>
      <c r="M41" s="1"/>
      <c r="N41" s="1"/>
    </row>
    <row r="42" spans="9:21" ht="15.75" customHeight="1">
      <c r="I42" s="26">
        <f t="shared" si="2"/>
        <v>41</v>
      </c>
      <c r="J42" s="45">
        <f t="shared" ref="J42:J48" si="5">J41+0.001</f>
        <v>5.3740000000000006</v>
      </c>
      <c r="K42" s="28">
        <f t="shared" si="0"/>
        <v>220.33400000000003</v>
      </c>
      <c r="L42" s="1"/>
      <c r="M42" s="1"/>
      <c r="N42" s="1"/>
    </row>
    <row r="43" spans="9:21" ht="15.75" customHeight="1">
      <c r="I43" s="26">
        <f t="shared" si="2"/>
        <v>42</v>
      </c>
      <c r="J43" s="45">
        <f t="shared" si="5"/>
        <v>5.3750000000000009</v>
      </c>
      <c r="K43" s="28">
        <f t="shared" si="0"/>
        <v>225.75000000000003</v>
      </c>
      <c r="L43" s="1"/>
      <c r="M43" s="1"/>
      <c r="N43" s="1"/>
      <c r="O43" s="46"/>
      <c r="P43" s="46"/>
      <c r="Q43" s="46"/>
      <c r="R43" s="46"/>
      <c r="S43" s="46"/>
      <c r="T43" s="46"/>
      <c r="U43" s="46"/>
    </row>
    <row r="44" spans="9:21" ht="15.75" customHeight="1">
      <c r="I44" s="26">
        <f t="shared" si="2"/>
        <v>43</v>
      </c>
      <c r="J44" s="45">
        <f t="shared" si="5"/>
        <v>5.3760000000000012</v>
      </c>
      <c r="K44" s="28">
        <f t="shared" si="0"/>
        <v>231.16800000000006</v>
      </c>
      <c r="L44" s="1"/>
      <c r="M44" s="1"/>
      <c r="N44" s="1"/>
      <c r="O44" s="46"/>
      <c r="P44" s="46"/>
      <c r="Q44" s="46"/>
      <c r="R44" s="46"/>
      <c r="S44" s="46"/>
      <c r="T44" s="46"/>
      <c r="U44" s="46"/>
    </row>
    <row r="45" spans="9:21" ht="15.75" customHeight="1">
      <c r="I45" s="26">
        <f t="shared" si="2"/>
        <v>44</v>
      </c>
      <c r="J45" s="45">
        <f t="shared" si="5"/>
        <v>5.3770000000000016</v>
      </c>
      <c r="K45" s="28">
        <f t="shared" si="0"/>
        <v>236.58800000000008</v>
      </c>
      <c r="L45" s="1"/>
      <c r="M45" s="1"/>
      <c r="N45" s="1"/>
      <c r="O45" s="46"/>
      <c r="P45" s="46"/>
      <c r="Q45" s="46"/>
      <c r="R45" s="46"/>
      <c r="S45" s="46"/>
      <c r="T45" s="46"/>
      <c r="U45" s="46"/>
    </row>
    <row r="46" spans="9:21" ht="15.75" customHeight="1">
      <c r="I46" s="21">
        <f t="shared" si="2"/>
        <v>45</v>
      </c>
      <c r="J46" s="44">
        <f t="shared" si="5"/>
        <v>5.3780000000000019</v>
      </c>
      <c r="K46" s="23">
        <f t="shared" si="0"/>
        <v>242.01000000000008</v>
      </c>
      <c r="L46" s="1"/>
      <c r="M46" s="1"/>
      <c r="N46" s="1"/>
      <c r="O46" s="46"/>
      <c r="P46" s="46"/>
      <c r="Q46" s="46"/>
      <c r="R46" s="46"/>
      <c r="S46" s="46"/>
      <c r="T46" s="46"/>
      <c r="U46" s="46"/>
    </row>
    <row r="47" spans="9:21" ht="15.75" customHeight="1">
      <c r="I47" s="26">
        <f t="shared" si="2"/>
        <v>46</v>
      </c>
      <c r="J47" s="45">
        <f t="shared" si="5"/>
        <v>5.3790000000000022</v>
      </c>
      <c r="K47" s="28">
        <f t="shared" si="0"/>
        <v>247.43400000000011</v>
      </c>
      <c r="L47" s="1"/>
      <c r="M47" s="1"/>
      <c r="N47" s="1"/>
      <c r="O47" s="46"/>
      <c r="P47" s="46"/>
      <c r="Q47" s="46"/>
      <c r="R47" s="46"/>
      <c r="S47" s="46"/>
      <c r="T47" s="46"/>
      <c r="U47" s="46"/>
    </row>
    <row r="48" spans="9:21" ht="15.75" customHeight="1">
      <c r="I48" s="26">
        <f t="shared" si="2"/>
        <v>47</v>
      </c>
      <c r="J48" s="45">
        <f t="shared" si="5"/>
        <v>5.3800000000000026</v>
      </c>
      <c r="K48" s="28">
        <f t="shared" si="0"/>
        <v>252.86000000000013</v>
      </c>
      <c r="L48" s="1"/>
      <c r="M48" s="1"/>
      <c r="N48" s="1"/>
      <c r="O48" s="46"/>
      <c r="P48" s="46"/>
      <c r="Q48" s="46"/>
      <c r="R48" s="46"/>
      <c r="S48" s="46"/>
      <c r="T48" s="46"/>
      <c r="U48" s="46"/>
    </row>
    <row r="49" spans="9:21" ht="15.75" customHeight="1">
      <c r="I49" s="26">
        <f t="shared" si="2"/>
        <v>48</v>
      </c>
      <c r="J49" s="45">
        <v>9.5</v>
      </c>
      <c r="K49" s="28">
        <f t="shared" si="0"/>
        <v>456</v>
      </c>
      <c r="L49" s="1"/>
      <c r="M49" s="1"/>
      <c r="N49" s="1"/>
      <c r="O49" s="46"/>
      <c r="P49" s="46"/>
      <c r="Q49" s="46"/>
      <c r="R49" s="46"/>
      <c r="S49" s="46"/>
      <c r="T49" s="46"/>
      <c r="U49" s="46"/>
    </row>
    <row r="50" spans="9:21" ht="15.75" customHeight="1">
      <c r="I50" s="26">
        <f t="shared" si="2"/>
        <v>49</v>
      </c>
      <c r="J50" s="45">
        <f>J49+0.001</f>
        <v>9.5009999999999994</v>
      </c>
      <c r="K50" s="28">
        <f t="shared" si="0"/>
        <v>465.54899999999998</v>
      </c>
      <c r="L50" s="1"/>
      <c r="M50" s="1"/>
      <c r="N50" s="1"/>
      <c r="O50" s="46"/>
      <c r="P50" s="46"/>
      <c r="Q50" s="46"/>
      <c r="R50" s="46"/>
      <c r="S50" s="46"/>
      <c r="T50" s="46"/>
      <c r="U50" s="46"/>
    </row>
    <row r="51" spans="9:21" ht="15.75" customHeight="1">
      <c r="I51" s="10">
        <f t="shared" si="2"/>
        <v>50</v>
      </c>
      <c r="J51" s="47">
        <f>J50+0.001</f>
        <v>9.5019999999999989</v>
      </c>
      <c r="K51" s="48">
        <f t="shared" si="0"/>
        <v>475.09999999999997</v>
      </c>
      <c r="L51" s="1"/>
      <c r="M51" s="1"/>
      <c r="N51" s="1"/>
      <c r="O51" s="46"/>
      <c r="P51" s="46"/>
      <c r="Q51" s="46"/>
      <c r="R51" s="46"/>
      <c r="S51" s="46"/>
      <c r="T51" s="46"/>
      <c r="U51" s="46"/>
    </row>
    <row r="52" spans="9:21" ht="15.75" customHeight="1">
      <c r="O52" s="46"/>
      <c r="P52" s="46"/>
      <c r="Q52" s="46"/>
      <c r="R52" s="46"/>
      <c r="S52" s="46"/>
      <c r="T52" s="46"/>
      <c r="U52" s="46"/>
    </row>
    <row r="53" spans="9:21" ht="15.75" customHeight="1">
      <c r="O53" s="46"/>
      <c r="P53" s="46"/>
      <c r="Q53" s="46"/>
      <c r="R53" s="46"/>
      <c r="S53" s="46"/>
      <c r="T53" s="46"/>
      <c r="U53" s="46"/>
    </row>
    <row r="54" spans="9:21" ht="15.75" customHeight="1"/>
    <row r="55" spans="9:21" ht="15.75" customHeight="1"/>
    <row r="56" spans="9:21" ht="15.75" customHeight="1"/>
    <row r="57" spans="9:21" ht="15.75" customHeight="1"/>
    <row r="58" spans="9:21" ht="15.75" customHeight="1"/>
    <row r="59" spans="9:21" ht="15.75" customHeight="1"/>
    <row r="60" spans="9:21" ht="15.75" customHeight="1"/>
    <row r="61" spans="9:21" ht="15.75" customHeight="1"/>
    <row r="62" spans="9:21" ht="15.75" customHeight="1"/>
    <row r="63" spans="9:21" ht="15.75" customHeight="1"/>
    <row r="64" spans="9:2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E15:G15"/>
    <mergeCell ref="L16:M16"/>
    <mergeCell ref="N16:N17"/>
    <mergeCell ref="A1:G2"/>
    <mergeCell ref="A3:B4"/>
    <mergeCell ref="K4:K5"/>
    <mergeCell ref="L4:M4"/>
    <mergeCell ref="N4:N5"/>
    <mergeCell ref="E7:G7"/>
    <mergeCell ref="E8:G8"/>
    <mergeCell ref="F13:G13"/>
    <mergeCell ref="F9:G9"/>
    <mergeCell ref="F10:G10"/>
    <mergeCell ref="F11:G11"/>
    <mergeCell ref="F12:G12"/>
    <mergeCell ref="B13:B14"/>
  </mergeCells>
  <hyperlinks>
    <hyperlink ref="B13:B14" location="'LIQ. '!A1" display="Liquidacion" xr:uid="{00000000-0004-0000-0000-000000000000}"/>
  </hyperlinks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R1000"/>
  <sheetViews>
    <sheetView tabSelected="1" topLeftCell="A9" zoomScaleNormal="100" zoomScaleSheetLayoutView="115" workbookViewId="0">
      <selection activeCell="J29" sqref="J29"/>
    </sheetView>
  </sheetViews>
  <sheetFormatPr baseColWidth="10" defaultColWidth="14.44140625" defaultRowHeight="15.05" customHeight="1"/>
  <cols>
    <col min="1" max="1" width="3.88671875" customWidth="1"/>
    <col min="2" max="2" width="12.44140625" customWidth="1"/>
    <col min="3" max="3" width="9.5546875" customWidth="1"/>
    <col min="4" max="4" width="11.5546875" customWidth="1"/>
    <col min="5" max="6" width="8.88671875" customWidth="1"/>
    <col min="7" max="7" width="10" customWidth="1"/>
    <col min="8" max="8" width="5" customWidth="1"/>
    <col min="9" max="9" width="5.88671875" customWidth="1"/>
    <col min="10" max="18" width="10" customWidth="1"/>
  </cols>
  <sheetData>
    <row r="1" spans="2:18" ht="15.75" customHeight="1">
      <c r="B1" s="72"/>
      <c r="C1" s="72"/>
      <c r="D1" s="72"/>
      <c r="E1" s="72"/>
      <c r="F1" s="72"/>
      <c r="G1" s="72"/>
      <c r="H1" s="72"/>
      <c r="I1" s="49"/>
      <c r="J1" s="1"/>
      <c r="K1" s="1"/>
      <c r="L1" s="1"/>
      <c r="M1" s="1"/>
      <c r="N1" s="1"/>
      <c r="O1" s="1"/>
      <c r="P1" s="1"/>
      <c r="Q1" s="1"/>
      <c r="R1" s="1"/>
    </row>
    <row r="2" spans="2:18" ht="15.75" customHeight="1">
      <c r="B2" s="72"/>
      <c r="C2" s="72"/>
      <c r="D2" s="72"/>
      <c r="E2" s="72"/>
      <c r="F2" s="72"/>
      <c r="G2" s="72"/>
      <c r="H2" s="72"/>
      <c r="I2" s="49"/>
      <c r="J2" s="1"/>
      <c r="K2" s="1"/>
      <c r="L2" s="1"/>
      <c r="M2" s="1"/>
      <c r="N2" s="1"/>
      <c r="O2" s="1"/>
      <c r="P2" s="1"/>
      <c r="Q2" s="1"/>
      <c r="R2" s="1"/>
    </row>
    <row r="3" spans="2:18" ht="15.75" customHeight="1">
      <c r="B3" s="72"/>
      <c r="C3" s="72"/>
      <c r="D3" s="72"/>
      <c r="E3" s="72"/>
      <c r="F3" s="72"/>
      <c r="G3" s="72"/>
      <c r="H3" s="72"/>
      <c r="I3" s="49"/>
      <c r="J3" s="1"/>
      <c r="K3" s="1"/>
      <c r="L3" s="1"/>
      <c r="M3" s="1"/>
      <c r="N3" s="1"/>
      <c r="O3" s="1"/>
      <c r="P3" s="1"/>
      <c r="Q3" s="1"/>
      <c r="R3" s="1"/>
    </row>
    <row r="4" spans="2:18" ht="15.75" customHeight="1">
      <c r="B4" s="73"/>
      <c r="C4" s="74"/>
      <c r="D4" s="74"/>
      <c r="E4" s="74"/>
      <c r="F4" s="78" t="s">
        <v>26</v>
      </c>
      <c r="G4" s="133" t="e">
        <f>LARGE(#REF!,1)+1</f>
        <v>#REF!</v>
      </c>
      <c r="H4" s="134"/>
      <c r="I4" s="52"/>
      <c r="J4" s="1"/>
      <c r="K4" s="1"/>
      <c r="L4" s="1"/>
      <c r="M4" s="1"/>
      <c r="N4" s="1"/>
      <c r="O4" s="1"/>
      <c r="P4" s="1"/>
      <c r="Q4" s="1"/>
      <c r="R4" s="1"/>
    </row>
    <row r="5" spans="2:18" ht="15.75" customHeight="1">
      <c r="B5" s="135"/>
      <c r="C5" s="136"/>
      <c r="D5" s="74"/>
      <c r="E5" s="137" t="s">
        <v>27</v>
      </c>
      <c r="F5" s="136"/>
      <c r="G5" s="136"/>
      <c r="H5" s="74"/>
      <c r="I5" s="51"/>
      <c r="J5" s="1"/>
      <c r="K5" s="1"/>
      <c r="L5" s="1"/>
      <c r="M5" s="1"/>
      <c r="N5" s="1"/>
      <c r="O5" s="1"/>
      <c r="P5" s="1"/>
      <c r="Q5" s="1"/>
      <c r="R5" s="1"/>
    </row>
    <row r="6" spans="2:18" ht="15.75" customHeight="1">
      <c r="B6" s="75"/>
      <c r="C6" s="135"/>
      <c r="D6" s="136"/>
      <c r="E6" s="75"/>
      <c r="F6" s="135"/>
      <c r="G6" s="136"/>
      <c r="H6" s="72"/>
      <c r="I6" s="49"/>
      <c r="J6" s="1"/>
      <c r="K6" s="1"/>
      <c r="L6" s="1"/>
      <c r="M6" s="1"/>
      <c r="N6" s="1"/>
      <c r="O6" s="1"/>
      <c r="P6" s="1"/>
      <c r="Q6" s="1"/>
      <c r="R6" s="1"/>
    </row>
    <row r="7" spans="2:18" ht="19.5" customHeight="1">
      <c r="B7" s="138" t="s">
        <v>28</v>
      </c>
      <c r="C7" s="136"/>
      <c r="D7" s="136"/>
      <c r="E7" s="136"/>
      <c r="F7" s="136"/>
      <c r="G7" s="136"/>
      <c r="H7" s="136"/>
      <c r="I7" s="55"/>
      <c r="J7" s="1"/>
      <c r="K7" s="1"/>
      <c r="L7" s="1"/>
      <c r="M7" s="1"/>
      <c r="N7" s="1"/>
      <c r="O7" s="1"/>
      <c r="P7" s="1"/>
      <c r="Q7" s="1"/>
      <c r="R7" s="1"/>
    </row>
    <row r="8" spans="2:18">
      <c r="B8" s="50" t="s">
        <v>29</v>
      </c>
      <c r="C8" s="139">
        <f ca="1">Hoja1!B5</f>
        <v>46253</v>
      </c>
      <c r="D8" s="87"/>
      <c r="E8" s="50" t="s">
        <v>30</v>
      </c>
      <c r="F8" s="56">
        <f>IF(Hoja1!B10="","",Hoja1!B10)</f>
        <v>334</v>
      </c>
      <c r="G8" s="140" t="s">
        <v>31</v>
      </c>
      <c r="H8" s="87"/>
      <c r="I8" s="57"/>
      <c r="J8" s="1"/>
      <c r="K8" s="1"/>
      <c r="L8" s="1"/>
      <c r="M8" s="1"/>
      <c r="N8" s="1"/>
      <c r="O8" s="1"/>
      <c r="P8" s="1"/>
      <c r="Q8" s="1"/>
      <c r="R8" s="1"/>
    </row>
    <row r="9" spans="2:18" ht="19.5" customHeight="1">
      <c r="B9" s="50" t="s">
        <v>32</v>
      </c>
      <c r="C9" s="126" t="str">
        <f>IF(Hoja1!B6="","",Hoja1!B6)</f>
        <v>NELSON CAVERO</v>
      </c>
      <c r="D9" s="87"/>
      <c r="E9" s="87"/>
      <c r="F9" s="87"/>
      <c r="G9" s="58" t="s">
        <v>33</v>
      </c>
      <c r="H9" s="59">
        <v>1.1100000000000001</v>
      </c>
      <c r="I9" s="60"/>
      <c r="J9" s="1"/>
      <c r="K9" s="1"/>
      <c r="L9" s="1"/>
      <c r="M9" s="1"/>
      <c r="N9" s="1"/>
      <c r="O9" s="1"/>
      <c r="P9" s="1"/>
      <c r="Q9" s="1"/>
      <c r="R9" s="1"/>
    </row>
    <row r="10" spans="2:18" ht="21.8" customHeight="1">
      <c r="B10" s="50" t="s">
        <v>34</v>
      </c>
      <c r="C10" s="126" t="str">
        <f>IF(Hoja1!B7="","",Hoja1!B7)</f>
        <v>KORI MAYU</v>
      </c>
      <c r="D10" s="87"/>
      <c r="E10" s="87"/>
      <c r="F10" s="87"/>
      <c r="G10" s="58" t="s">
        <v>35</v>
      </c>
      <c r="H10" s="59">
        <v>27.08</v>
      </c>
      <c r="I10" s="60"/>
      <c r="J10" s="1"/>
      <c r="K10" s="1"/>
      <c r="L10" s="1"/>
      <c r="M10" s="1"/>
      <c r="N10" s="1"/>
      <c r="O10" s="1"/>
      <c r="P10" s="1"/>
      <c r="Q10" s="1"/>
      <c r="R10" s="1"/>
    </row>
    <row r="11" spans="2:18" ht="22.6" customHeight="1">
      <c r="B11" s="50" t="s">
        <v>36</v>
      </c>
      <c r="C11" s="126" t="str">
        <f>IF(Hoja1!B8="","",Hoja1!B8)</f>
        <v>POTOSI</v>
      </c>
      <c r="D11" s="87"/>
      <c r="E11" s="87"/>
      <c r="F11" s="87"/>
      <c r="G11" s="58" t="s">
        <v>37</v>
      </c>
      <c r="H11" s="59">
        <v>0.89</v>
      </c>
      <c r="I11" s="60"/>
      <c r="J11" s="1"/>
      <c r="K11" s="1"/>
      <c r="L11" s="1"/>
      <c r="M11" s="1"/>
      <c r="N11" s="1"/>
      <c r="O11" s="1"/>
      <c r="P11" s="1"/>
      <c r="Q11" s="1"/>
      <c r="R11" s="1"/>
    </row>
    <row r="12" spans="2:18" ht="19.5" customHeight="1" thickBot="1">
      <c r="B12" s="125" t="s">
        <v>38</v>
      </c>
      <c r="C12" s="87"/>
      <c r="D12" s="126" t="str">
        <f>IF(Hoja1!B9="","",Hoja1!B9)</f>
        <v>MONJA 2</v>
      </c>
      <c r="E12" s="87"/>
      <c r="F12" s="87"/>
      <c r="G12" s="51"/>
      <c r="H12" s="51"/>
      <c r="I12" s="51"/>
      <c r="J12" s="1"/>
      <c r="K12" s="1"/>
      <c r="L12" s="1"/>
      <c r="M12" s="1"/>
      <c r="N12" s="1"/>
      <c r="O12" s="1"/>
      <c r="P12" s="1"/>
      <c r="Q12" s="1"/>
      <c r="R12" s="1"/>
    </row>
    <row r="13" spans="2:18" ht="20.3" customHeight="1">
      <c r="B13" s="61" t="s">
        <v>39</v>
      </c>
      <c r="C13" s="62">
        <f>Hoja1!E4</f>
        <v>5</v>
      </c>
      <c r="D13" s="63" t="s">
        <v>40</v>
      </c>
      <c r="E13" s="76">
        <f>Hoja1!E7</f>
        <v>450</v>
      </c>
      <c r="F13" s="127" t="s">
        <v>41</v>
      </c>
      <c r="G13" s="130">
        <f>Hoja1!F12*Hoja1!F13/1000</f>
        <v>1.0626139999999999</v>
      </c>
      <c r="H13" s="116"/>
      <c r="I13" s="64"/>
      <c r="J13" s="1"/>
      <c r="K13" s="1"/>
      <c r="L13" s="1"/>
      <c r="M13" s="1"/>
      <c r="N13" s="1"/>
      <c r="O13" s="1"/>
      <c r="P13" s="1"/>
      <c r="Q13" s="1"/>
      <c r="R13" s="1"/>
    </row>
    <row r="14" spans="2:18" ht="20.3" customHeight="1">
      <c r="B14" s="65" t="s">
        <v>42</v>
      </c>
      <c r="C14" s="66">
        <f>Hoja1!E5</f>
        <v>6.5</v>
      </c>
      <c r="D14" s="132" t="s">
        <v>43</v>
      </c>
      <c r="E14" s="157">
        <f>ROUNDDOWN(E13-(Hoja1!E8*E13),3)</f>
        <v>427.5</v>
      </c>
      <c r="F14" s="128"/>
      <c r="G14" s="131"/>
      <c r="H14" s="124"/>
      <c r="I14" s="64"/>
      <c r="J14" s="1"/>
      <c r="K14" s="1"/>
      <c r="L14" s="1"/>
      <c r="M14" s="1"/>
      <c r="N14" s="1"/>
      <c r="O14" s="1"/>
      <c r="P14" s="1"/>
      <c r="Q14" s="1"/>
      <c r="R14" s="1"/>
    </row>
    <row r="15" spans="2:18" ht="15.75" thickBot="1">
      <c r="B15" s="67" t="s">
        <v>44</v>
      </c>
      <c r="C15" s="68">
        <f>Hoja1!E6</f>
        <v>13</v>
      </c>
      <c r="D15" s="128"/>
      <c r="E15" s="158"/>
      <c r="F15" s="129"/>
      <c r="G15" s="131"/>
      <c r="H15" s="124"/>
      <c r="I15" s="64"/>
      <c r="J15" s="1"/>
      <c r="K15" s="1"/>
      <c r="L15" s="1"/>
      <c r="M15" s="1"/>
      <c r="N15" s="1"/>
      <c r="O15" s="1"/>
      <c r="P15" s="1"/>
      <c r="Q15" s="1"/>
      <c r="R15" s="1"/>
    </row>
    <row r="16" spans="2:18" ht="16.55" customHeight="1" thickBot="1">
      <c r="B16" s="108" t="s">
        <v>45</v>
      </c>
      <c r="C16" s="109"/>
      <c r="D16" s="109"/>
      <c r="E16" s="119"/>
      <c r="F16" s="120">
        <f>E14*G13*1000</f>
        <v>454267.48499999999</v>
      </c>
      <c r="G16" s="109"/>
      <c r="H16" s="110"/>
      <c r="I16" s="69"/>
      <c r="J16" s="1"/>
      <c r="K16" s="1"/>
      <c r="L16" s="1"/>
      <c r="M16" s="1"/>
      <c r="N16" s="1"/>
      <c r="O16" s="1"/>
      <c r="P16" s="1"/>
      <c r="Q16" s="1"/>
      <c r="R16" s="1"/>
    </row>
    <row r="17" spans="2:18" ht="15.75" customHeight="1" thickBot="1">
      <c r="B17" s="121" t="s">
        <v>46</v>
      </c>
      <c r="C17" s="122"/>
      <c r="D17" s="113">
        <v>6.8000000000000005E-2</v>
      </c>
      <c r="E17" s="87"/>
      <c r="F17" s="123">
        <f>F16*D17</f>
        <v>30890.188980000003</v>
      </c>
      <c r="G17" s="87"/>
      <c r="H17" s="124"/>
      <c r="I17" s="70"/>
      <c r="J17" s="1"/>
      <c r="K17" s="1"/>
      <c r="L17" s="1"/>
      <c r="M17" s="1"/>
      <c r="N17" s="1"/>
      <c r="O17" s="1"/>
      <c r="P17" s="1"/>
      <c r="Q17" s="1"/>
      <c r="R17" s="1"/>
    </row>
    <row r="18" spans="2:18" ht="15.75" customHeight="1" thickBot="1">
      <c r="B18" s="117" t="s">
        <v>63</v>
      </c>
      <c r="C18" s="81"/>
      <c r="D18" s="118">
        <v>1.7999999999999999E-2</v>
      </c>
      <c r="E18" s="87"/>
      <c r="F18" s="114">
        <f>D18*$F$16</f>
        <v>8176.8147299999991</v>
      </c>
      <c r="G18" s="115"/>
      <c r="H18" s="116"/>
      <c r="I18" s="70"/>
      <c r="J18" s="1"/>
      <c r="K18" s="1"/>
      <c r="L18" s="1"/>
      <c r="M18" s="1"/>
      <c r="N18" s="1"/>
      <c r="O18" s="1">
        <v>200</v>
      </c>
      <c r="P18" s="1">
        <f>+O18/22</f>
        <v>9.0909090909090917</v>
      </c>
      <c r="Q18" s="1"/>
      <c r="R18" s="1"/>
    </row>
    <row r="19" spans="2:18" ht="15.75" customHeight="1" thickBot="1">
      <c r="B19" s="117" t="s">
        <v>67</v>
      </c>
      <c r="C19" s="81"/>
      <c r="D19" s="118">
        <v>0.01</v>
      </c>
      <c r="E19" s="87"/>
      <c r="F19" s="114">
        <f>D19*$F$16</f>
        <v>4542.6748500000003</v>
      </c>
      <c r="G19" s="115"/>
      <c r="H19" s="116"/>
      <c r="I19" s="70"/>
      <c r="J19" s="1"/>
      <c r="K19" s="1"/>
      <c r="L19" s="1"/>
      <c r="M19" s="1"/>
      <c r="N19" s="1"/>
      <c r="O19" s="1"/>
      <c r="P19" s="1"/>
      <c r="Q19" s="1"/>
      <c r="R19" s="1"/>
    </row>
    <row r="20" spans="2:18" ht="15.75" customHeight="1" thickBot="1">
      <c r="B20" s="112" t="s">
        <v>68</v>
      </c>
      <c r="C20" s="81"/>
      <c r="D20" s="113">
        <v>0.01</v>
      </c>
      <c r="E20" s="87"/>
      <c r="F20" s="114">
        <f>D20*$F$16</f>
        <v>4542.6748500000003</v>
      </c>
      <c r="G20" s="115"/>
      <c r="H20" s="116"/>
      <c r="I20" s="70"/>
      <c r="J20" s="1"/>
      <c r="K20" s="1"/>
      <c r="L20" s="1"/>
      <c r="M20" s="1"/>
      <c r="N20" s="1"/>
      <c r="O20" s="1"/>
      <c r="P20" s="1"/>
      <c r="Q20" s="1"/>
      <c r="R20" s="1"/>
    </row>
    <row r="21" spans="2:18" ht="19.5" customHeight="1" thickBot="1">
      <c r="B21" s="117" t="s">
        <v>47</v>
      </c>
      <c r="C21" s="81"/>
      <c r="D21" s="113">
        <v>4.0000000000000001E-3</v>
      </c>
      <c r="E21" s="87"/>
      <c r="F21" s="114">
        <f>D21*$F$16</f>
        <v>1817.0699400000001</v>
      </c>
      <c r="G21" s="115"/>
      <c r="H21" s="116"/>
      <c r="I21" s="70"/>
      <c r="J21" s="1"/>
      <c r="K21" s="1"/>
      <c r="L21" s="1"/>
      <c r="M21" s="1"/>
      <c r="N21" s="1"/>
      <c r="O21" s="1"/>
      <c r="P21" s="1"/>
      <c r="Q21" s="1"/>
      <c r="R21" s="1"/>
    </row>
    <row r="22" spans="2:18" ht="15.75" customHeight="1" thickBot="1">
      <c r="B22" s="117" t="s">
        <v>64</v>
      </c>
      <c r="C22" s="81"/>
      <c r="D22" s="113">
        <v>0</v>
      </c>
      <c r="E22" s="87"/>
      <c r="F22" s="114">
        <f>D22*$F$16</f>
        <v>0</v>
      </c>
      <c r="G22" s="115"/>
      <c r="H22" s="116"/>
      <c r="I22" s="70"/>
      <c r="J22" s="1"/>
      <c r="K22" s="1"/>
      <c r="L22" s="1"/>
      <c r="M22" s="1"/>
      <c r="N22" s="1"/>
      <c r="O22" s="1"/>
      <c r="P22" s="1"/>
      <c r="Q22" s="1"/>
      <c r="R22" s="1"/>
    </row>
    <row r="23" spans="2:18" ht="15.75" customHeight="1" thickBot="1">
      <c r="B23" s="117"/>
      <c r="C23" s="81"/>
      <c r="D23" s="113"/>
      <c r="E23" s="87"/>
      <c r="F23" s="114"/>
      <c r="G23" s="115"/>
      <c r="H23" s="116"/>
      <c r="I23" s="70"/>
      <c r="J23" s="1"/>
      <c r="K23" s="1"/>
      <c r="L23" s="1"/>
      <c r="M23" s="1"/>
      <c r="N23" s="1"/>
      <c r="O23" s="1"/>
      <c r="P23" s="1"/>
      <c r="Q23" s="1"/>
      <c r="R23" s="1"/>
    </row>
    <row r="24" spans="2:18" ht="15.75" customHeight="1" thickBot="1">
      <c r="B24" s="117"/>
      <c r="C24" s="81"/>
      <c r="D24" s="153"/>
      <c r="E24" s="87"/>
      <c r="F24" s="154"/>
      <c r="G24" s="109"/>
      <c r="H24" s="110"/>
      <c r="I24" s="70"/>
      <c r="J24" s="1"/>
      <c r="K24" s="1"/>
      <c r="L24" s="1"/>
      <c r="M24" s="1"/>
      <c r="N24" s="1"/>
      <c r="O24" s="1"/>
      <c r="P24" s="1"/>
      <c r="Q24" s="1"/>
      <c r="R24" s="1"/>
    </row>
    <row r="25" spans="2:18" ht="15.75" customHeight="1" thickBot="1">
      <c r="B25" s="155" t="s">
        <v>48</v>
      </c>
      <c r="C25" s="156"/>
      <c r="D25" s="156"/>
      <c r="E25" s="156"/>
      <c r="F25" s="154">
        <f>F17+F18+F19+F20+F21+F22+F23</f>
        <v>49969.423350000012</v>
      </c>
      <c r="G25" s="109"/>
      <c r="H25" s="110"/>
      <c r="I25" s="70"/>
      <c r="J25" s="1"/>
      <c r="K25" s="1"/>
      <c r="L25" s="1"/>
      <c r="M25" s="1"/>
      <c r="N25" s="1"/>
      <c r="O25" s="1"/>
      <c r="P25" s="1"/>
      <c r="Q25" s="1"/>
      <c r="R25" s="1"/>
    </row>
    <row r="26" spans="2:18" ht="15.75" customHeight="1" thickBot="1">
      <c r="B26" s="141" t="s">
        <v>65</v>
      </c>
      <c r="C26" s="142"/>
      <c r="D26" s="142"/>
      <c r="E26" s="143"/>
      <c r="F26" s="111">
        <f>F16-F25</f>
        <v>404298.06164999999</v>
      </c>
      <c r="G26" s="109"/>
      <c r="H26" s="110"/>
      <c r="I26" s="69"/>
      <c r="J26" s="1"/>
      <c r="K26" s="1"/>
      <c r="L26" s="1"/>
      <c r="M26" s="1"/>
      <c r="N26" s="1"/>
      <c r="O26" s="1"/>
      <c r="P26" s="1"/>
      <c r="Q26" s="1"/>
      <c r="R26" s="1"/>
    </row>
    <row r="27" spans="2:18" ht="15.75" customHeight="1">
      <c r="B27" s="144" t="s">
        <v>49</v>
      </c>
      <c r="C27" s="145"/>
      <c r="D27" s="147" t="s">
        <v>50</v>
      </c>
      <c r="E27" s="122"/>
      <c r="F27" s="148">
        <v>11</v>
      </c>
      <c r="G27" s="149"/>
      <c r="H27" s="150"/>
      <c r="I27" s="70"/>
      <c r="J27" s="1"/>
      <c r="K27" s="1"/>
      <c r="L27" s="1"/>
      <c r="M27" s="1"/>
      <c r="N27" s="1"/>
      <c r="O27" s="1"/>
      <c r="P27" s="1"/>
      <c r="Q27" s="1"/>
      <c r="R27" s="1"/>
    </row>
    <row r="28" spans="2:18" ht="15.75" customHeight="1" thickBot="1">
      <c r="B28" s="146"/>
      <c r="C28" s="122"/>
      <c r="D28" s="151" t="s">
        <v>51</v>
      </c>
      <c r="E28" s="152"/>
      <c r="F28" s="105">
        <v>200</v>
      </c>
      <c r="G28" s="106"/>
      <c r="H28" s="107"/>
      <c r="I28" s="70"/>
      <c r="J28" s="1"/>
      <c r="K28" s="1"/>
      <c r="L28" s="1"/>
      <c r="M28" s="1"/>
      <c r="N28" s="1"/>
      <c r="O28" s="1"/>
      <c r="P28" s="1"/>
      <c r="Q28" s="1"/>
      <c r="R28" s="1"/>
    </row>
    <row r="29" spans="2:18" ht="15.75" customHeight="1" thickBot="1">
      <c r="B29" s="108" t="s">
        <v>66</v>
      </c>
      <c r="C29" s="109"/>
      <c r="D29" s="109"/>
      <c r="E29" s="110"/>
      <c r="F29" s="111">
        <f>F26-F27-F28</f>
        <v>404087.06164999999</v>
      </c>
      <c r="G29" s="109"/>
      <c r="H29" s="110"/>
      <c r="I29" s="69"/>
      <c r="J29" s="1"/>
      <c r="K29" s="1"/>
      <c r="L29" s="1"/>
      <c r="M29" s="1"/>
      <c r="N29" s="1"/>
      <c r="O29" s="1"/>
      <c r="P29" s="1"/>
      <c r="Q29" s="1"/>
      <c r="R29" s="1"/>
    </row>
    <row r="30" spans="2:18" ht="15.75" customHeight="1">
      <c r="B30" s="54"/>
      <c r="C30" s="54" t="s">
        <v>52</v>
      </c>
      <c r="D30" s="54"/>
      <c r="E30" s="54"/>
      <c r="F30" s="69"/>
      <c r="G30" s="69"/>
      <c r="H30" s="69"/>
      <c r="I30" s="69"/>
      <c r="J30" s="1"/>
      <c r="K30" s="1"/>
      <c r="L30" s="1"/>
      <c r="M30" s="1"/>
      <c r="N30" s="1"/>
      <c r="O30" s="1"/>
      <c r="P30" s="1"/>
      <c r="Q30" s="1"/>
      <c r="R30" s="1"/>
    </row>
    <row r="31" spans="2:18" ht="15.75" customHeight="1">
      <c r="B31" s="54"/>
      <c r="C31" s="54"/>
      <c r="D31" s="54"/>
      <c r="E31" s="54"/>
      <c r="F31" s="69"/>
      <c r="G31" s="69"/>
      <c r="H31" s="69"/>
      <c r="I31" s="69"/>
      <c r="J31" s="1"/>
      <c r="K31" s="1"/>
      <c r="L31" s="1"/>
      <c r="M31" s="1"/>
      <c r="N31" s="1"/>
      <c r="O31" s="1"/>
      <c r="P31" s="1"/>
      <c r="Q31" s="1"/>
      <c r="R31" s="1"/>
    </row>
    <row r="32" spans="2:18" ht="15.75" customHeight="1">
      <c r="B32" s="54"/>
      <c r="C32" s="54"/>
      <c r="D32" s="54"/>
      <c r="E32" s="54"/>
      <c r="F32" s="69"/>
      <c r="G32" s="69"/>
      <c r="H32" s="69"/>
      <c r="I32" s="69"/>
      <c r="J32" s="1"/>
      <c r="K32" s="1"/>
      <c r="L32" s="1"/>
      <c r="M32" s="1"/>
      <c r="N32" s="1"/>
      <c r="O32" s="1"/>
      <c r="P32" s="1"/>
      <c r="Q32" s="1"/>
      <c r="R32" s="1"/>
    </row>
    <row r="33" spans="2:18" ht="15.75" customHeight="1">
      <c r="B33" s="54"/>
      <c r="C33" s="54"/>
      <c r="D33" s="54"/>
      <c r="E33" s="54"/>
      <c r="F33" s="69"/>
      <c r="G33" s="69"/>
      <c r="H33" s="69"/>
      <c r="I33" s="69"/>
      <c r="J33" s="1"/>
      <c r="K33" s="1"/>
      <c r="L33" s="1"/>
      <c r="M33" s="1"/>
      <c r="N33" s="1"/>
      <c r="O33" s="1"/>
      <c r="P33" s="1"/>
      <c r="Q33" s="1"/>
      <c r="R33" s="1"/>
    </row>
    <row r="34" spans="2:18" ht="15.75" customHeight="1">
      <c r="B34" s="54"/>
      <c r="C34" s="54"/>
      <c r="D34" s="54"/>
      <c r="E34" s="54"/>
      <c r="F34" s="69"/>
      <c r="G34" s="69"/>
      <c r="H34" s="69"/>
      <c r="I34" s="69"/>
      <c r="J34" s="1"/>
      <c r="K34" s="1"/>
      <c r="L34" s="1"/>
      <c r="M34" s="1"/>
      <c r="N34" s="1"/>
      <c r="O34" s="1"/>
      <c r="P34" s="1"/>
      <c r="Q34" s="1"/>
      <c r="R34" s="1"/>
    </row>
    <row r="35" spans="2:18" ht="15.75" customHeight="1">
      <c r="B35" s="126" t="s">
        <v>53</v>
      </c>
      <c r="C35" s="87"/>
      <c r="D35" s="87"/>
      <c r="E35" s="126" t="s">
        <v>54</v>
      </c>
      <c r="F35" s="87"/>
      <c r="G35" s="69"/>
      <c r="H35" s="69"/>
      <c r="I35" s="69"/>
      <c r="J35" s="1"/>
      <c r="K35" s="1"/>
      <c r="L35" s="1"/>
      <c r="M35" s="1"/>
      <c r="N35" s="1"/>
      <c r="O35" s="1"/>
      <c r="P35" s="1"/>
      <c r="Q35" s="1"/>
      <c r="R35" s="1"/>
    </row>
    <row r="36" spans="2:18" ht="14.25" customHeight="1">
      <c r="B36" s="53" t="s">
        <v>55</v>
      </c>
      <c r="C36" s="126"/>
      <c r="D36" s="87"/>
      <c r="E36" s="53" t="s">
        <v>55</v>
      </c>
      <c r="F36" s="51"/>
      <c r="G36" s="51"/>
      <c r="H36" s="51"/>
      <c r="I36" s="51"/>
      <c r="J36" s="1"/>
      <c r="K36" s="1"/>
      <c r="L36" s="1"/>
      <c r="M36" s="1"/>
      <c r="N36" s="1"/>
      <c r="O36" s="1"/>
      <c r="P36" s="1"/>
      <c r="Q36" s="1"/>
      <c r="R36" s="1"/>
    </row>
    <row r="37" spans="2:18" ht="15.75" customHeight="1">
      <c r="B37" s="126" t="s">
        <v>56</v>
      </c>
      <c r="C37" s="87"/>
      <c r="D37" s="87"/>
      <c r="E37" s="126" t="s">
        <v>57</v>
      </c>
      <c r="F37" s="87"/>
      <c r="G37" s="51"/>
      <c r="H37" s="51"/>
      <c r="I37" s="51"/>
      <c r="J37" s="1"/>
      <c r="K37" s="1"/>
      <c r="L37" s="1"/>
      <c r="M37" s="1"/>
      <c r="N37" s="1"/>
      <c r="O37" s="1"/>
      <c r="P37" s="1"/>
      <c r="Q37" s="1"/>
      <c r="R37" s="1"/>
    </row>
    <row r="38" spans="2:18" ht="15.75" customHeight="1">
      <c r="B38" s="51"/>
      <c r="C38" s="51"/>
      <c r="D38" s="51"/>
      <c r="E38" s="51"/>
      <c r="F38" s="51"/>
      <c r="G38" s="51"/>
      <c r="H38" s="51"/>
      <c r="I38" s="51"/>
      <c r="J38" s="1"/>
      <c r="K38" s="1"/>
      <c r="L38" s="1"/>
      <c r="M38" s="1"/>
      <c r="N38" s="1"/>
      <c r="O38" s="1"/>
      <c r="P38" s="1"/>
      <c r="Q38" s="1"/>
      <c r="R38" s="1"/>
    </row>
    <row r="39" spans="2:18" ht="15.75" customHeight="1">
      <c r="B39" s="137"/>
      <c r="C39" s="136"/>
      <c r="D39" s="136"/>
      <c r="E39" s="126"/>
      <c r="F39" s="87"/>
      <c r="G39" s="51"/>
      <c r="H39" s="51"/>
      <c r="I39" s="51"/>
      <c r="J39" s="1"/>
      <c r="K39" s="1"/>
      <c r="L39" s="1"/>
      <c r="M39" s="1"/>
      <c r="N39" s="1"/>
      <c r="O39" s="1"/>
      <c r="P39" s="1"/>
      <c r="Q39" s="1"/>
      <c r="R39" s="1"/>
    </row>
    <row r="40" spans="2:18" ht="15.75" customHeight="1">
      <c r="B40" s="53"/>
      <c r="C40" s="126"/>
      <c r="D40" s="87"/>
      <c r="E40" s="53"/>
      <c r="F40" s="53"/>
      <c r="G40" s="51"/>
      <c r="H40" s="51"/>
      <c r="I40" s="51"/>
      <c r="J40" s="1"/>
      <c r="K40" s="1"/>
      <c r="L40" s="1"/>
      <c r="M40" s="1"/>
      <c r="N40" s="1"/>
      <c r="O40" s="1"/>
      <c r="P40" s="1"/>
      <c r="Q40" s="1"/>
      <c r="R40" s="1"/>
    </row>
    <row r="41" spans="2:18" ht="15.75" customHeight="1">
      <c r="B41" s="126"/>
      <c r="C41" s="87"/>
      <c r="D41" s="87"/>
      <c r="E41" s="126"/>
      <c r="F41" s="87"/>
      <c r="G41" s="51"/>
      <c r="H41" s="51"/>
      <c r="I41" s="51"/>
      <c r="J41" s="1"/>
      <c r="K41" s="1"/>
      <c r="L41" s="1"/>
      <c r="M41" s="1"/>
      <c r="N41" s="1"/>
      <c r="O41" s="1"/>
      <c r="P41" s="1"/>
      <c r="Q41" s="1"/>
      <c r="R41" s="1"/>
    </row>
    <row r="42" spans="2:18" ht="15.75" customHeight="1">
      <c r="B42" s="71"/>
      <c r="C42" s="71"/>
      <c r="D42" s="71"/>
      <c r="E42" s="71"/>
      <c r="F42" s="71"/>
      <c r="G42" s="71"/>
      <c r="H42" s="71"/>
      <c r="I42" s="71"/>
      <c r="J42" s="1"/>
      <c r="K42" s="1"/>
      <c r="L42" s="1"/>
      <c r="M42" s="1"/>
      <c r="N42" s="1"/>
      <c r="O42" s="1"/>
      <c r="P42" s="1"/>
      <c r="Q42" s="1"/>
      <c r="R42" s="1"/>
    </row>
    <row r="43" spans="2:18" ht="15.75" customHeight="1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2:18" ht="15.75" customHeight="1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2:18" ht="15.75" customHeight="1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2:18" ht="15.75" customHeight="1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2:18" ht="15.75" customHeight="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2:18" ht="15.75" customHeight="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2:18" ht="15.75" customHeight="1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2:18" ht="15.75" customHeight="1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2:18" ht="15.75" customHeight="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2:18" ht="15.75" customHeight="1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2:18" ht="15.75" customHeight="1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2:18" ht="15.75" customHeight="1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2:18" ht="15.75" customHeight="1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2:18" ht="15.75" customHeight="1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2:18" ht="15.75" customHeight="1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2:18" ht="15.75" customHeight="1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2:18" ht="15.75" customHeight="1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2:18" ht="15.75" customHeight="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2:18" ht="15.75" customHeight="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2:18" ht="15.75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2:18" ht="15.75" customHeight="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2:18" ht="15.75" customHeight="1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2:18" ht="15.75" customHeight="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2:18" ht="15.75" customHeight="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2:18" ht="15.75" customHeight="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2:18" ht="15.75" customHeight="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2:18" ht="15.75" customHeight="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2:18" ht="15.75" customHeight="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2:18" ht="15.75" customHeight="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2:18" ht="15.75" customHeight="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2:18" ht="15.75" customHeight="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2:18" ht="15.75" customHeight="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2:18" ht="15.75" customHeight="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2:18" ht="15.75" customHeight="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2:18" ht="15.75" customHeight="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2:18" ht="15.75" customHeight="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2:18" ht="15.75" customHeigh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2:18" ht="15.75" customHeight="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2:18" ht="15.75" customHeight="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2:18" ht="15.75" customHeight="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2:18" ht="15.75" customHeight="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2:18" ht="15.75" customHeight="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2:18" ht="15.75" customHeight="1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2:18" ht="15.75" customHeight="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2:18" ht="15.75" customHeight="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2:18" ht="15.75" customHeight="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2:18" ht="15.75" customHeight="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2:18" ht="15.75" customHeight="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2:18" ht="15.75" customHeight="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2:18" ht="15.75" customHeight="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2:18" ht="15.75" customHeight="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2:18" ht="15.75" customHeight="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2:18" ht="15.75" customHeight="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2:18" ht="15.75" customHeight="1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2:18" ht="15.75" customHeight="1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2:18" ht="15.75" customHeight="1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2:18" ht="15.75" customHeight="1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2:18" ht="15.75" customHeight="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2:18" ht="15.75" customHeight="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2:18" ht="15.75" customHeight="1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2:18" ht="15.75" customHeight="1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2:18" ht="15.75" customHeight="1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2:18" ht="15.75" customHeight="1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2:18" ht="15.75" customHeight="1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2:18" ht="15.75" customHeight="1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2:18" ht="15.75" customHeight="1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2:18" ht="15.75" customHeight="1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2:18" ht="15.75" customHeight="1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2:18" ht="15.75" customHeight="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2:18" ht="15.75" customHeight="1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2:18" ht="15.75" customHeight="1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2:18" ht="15.75" customHeight="1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2:18" ht="15.75" customHeight="1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2:18" ht="15.75" customHeight="1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2:18" ht="15.75" customHeight="1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2:18" ht="15.75" customHeight="1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2:18" ht="15.75" customHeight="1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2:18" ht="15.75" customHeight="1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2:18" ht="15.75" customHeight="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2:18" ht="15.75" customHeight="1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2:18" ht="15.75" customHeight="1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2:18" ht="15.75" customHeight="1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2:18" ht="15.75" customHeight="1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2:18" ht="15.75" customHeight="1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2:18" ht="15.75" customHeight="1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2:18" ht="15.75" customHeight="1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2:18" ht="15.75" customHeight="1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2:18" ht="15.75" customHeight="1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2:18" ht="15.75" customHeight="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2:18" ht="15.75" customHeight="1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2:18" ht="15.75" customHeight="1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2:18" ht="15.75" customHeight="1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2:18" ht="15.75" customHeight="1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2:18" ht="15.75" customHeight="1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2:18" ht="15.75" customHeight="1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2:18" ht="15.75" customHeight="1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2:18" ht="15.75" customHeight="1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2:18" ht="15.75" customHeight="1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2:18" ht="15.75" customHeight="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2:18" ht="15.75" customHeight="1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2:18" ht="15.75" customHeight="1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2:18" ht="15.75" customHeight="1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2:18" ht="15.75" customHeight="1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2:18" ht="15.75" customHeight="1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2:18" ht="15.75" customHeight="1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2:18" ht="15.75" customHeight="1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2:18" ht="15.75" customHeight="1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2:18" ht="15.75" customHeight="1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2:18" ht="15.75" customHeight="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2:18" ht="15.75" customHeight="1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2:18" ht="15.75" customHeight="1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2:18" ht="15.75" customHeight="1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2:18" ht="15.75" customHeight="1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2:18" ht="15.75" customHeight="1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2:18" ht="15.75" customHeight="1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2:18" ht="15.75" customHeight="1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2:18" ht="15.75" customHeight="1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2:18" ht="15.75" customHeight="1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2:18" ht="15.75" customHeight="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2:18" ht="15.75" customHeight="1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2:18" ht="15.75" customHeight="1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2:18" ht="15.75" customHeight="1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2:18" ht="15.75" customHeight="1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2:18" ht="15.75" customHeight="1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2:18" ht="15.75" customHeight="1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2:18" ht="15.75" customHeight="1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2:18" ht="15.75" customHeight="1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2:18" ht="15.75" customHeight="1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2:18" ht="15.75" customHeight="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2:18" ht="15.75" customHeight="1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2:18" ht="15.75" customHeight="1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2:18" ht="15.75" customHeight="1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2:18" ht="15.75" customHeight="1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2:18" ht="15.75" customHeight="1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2:18" ht="15.75" customHeight="1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2:18" ht="15.75" customHeight="1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2:18" ht="15.75" customHeight="1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2:18" ht="15.75" customHeight="1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2:18" ht="15.75" customHeight="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2:18" ht="15.75" customHeight="1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2:18" ht="15.75" customHeight="1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2:18" ht="15.75" customHeight="1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2:18" ht="15.75" customHeight="1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2:18" ht="15.75" customHeight="1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2:18" ht="15.75" customHeight="1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2:18" ht="15.75" customHeight="1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2:18" ht="15.75" customHeight="1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2:18" ht="15.75" customHeight="1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2:18" ht="15.75" customHeight="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2:18" ht="15.75" customHeight="1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2:18" ht="15.75" customHeight="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2:18" ht="15.75" customHeight="1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2:18" ht="15.75" customHeight="1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2:18" ht="15.75" customHeight="1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2:18" ht="15.75" customHeight="1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2:18" ht="15.75" customHeight="1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2:18" ht="15.75" customHeight="1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2:18" ht="15.75" customHeight="1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2:18" ht="15.75" customHeight="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2:18" ht="15.75" customHeight="1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2:18" ht="15.75" customHeight="1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2:18" ht="15.75" customHeight="1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2:18" ht="15.75" customHeight="1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2:18" ht="15.75" customHeight="1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2:18" ht="15.75" customHeight="1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2:18" ht="15.75" customHeight="1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2:18" ht="15.75" customHeight="1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2:18" ht="15.75" customHeight="1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2:18" ht="15.75" customHeight="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2:18" ht="15.75" customHeight="1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2:18" ht="15.75" customHeight="1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2:18" ht="15.75" customHeight="1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2:18" ht="15.75" customHeight="1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2:18" ht="15.75" customHeight="1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2:18" ht="15.75" customHeight="1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2:18" ht="15.75" customHeight="1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2:18" ht="15.75" customHeight="1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2:18" ht="15.75" customHeight="1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2:18" ht="15.75" customHeight="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2:18" ht="15.75" customHeight="1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2:18" ht="15.75" customHeight="1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2:18" ht="15.75" customHeight="1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2:18" ht="15.75" customHeight="1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2:18" ht="15.75" customHeight="1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2:18" ht="15.75" customHeight="1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2:18" ht="15.75" customHeight="1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2:18" ht="15.75" customHeight="1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2:18" ht="15.75" customHeight="1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2:18" ht="15.75" customHeight="1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2:18" ht="15.75" customHeight="1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2:18" ht="15.75" customHeight="1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2:18" ht="15.75" customHeight="1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2:18" ht="15.75" customHeight="1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2:18" ht="15.75" customHeight="1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2:18" ht="15.75" customHeight="1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2:18" ht="15.75" customHeight="1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2:18" ht="15.75" customHeight="1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2:18" ht="15.75" customHeight="1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2:18" ht="15.75" customHeight="1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2:18" ht="15.75" customHeight="1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2:18" ht="15.75" customHeight="1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2:18" ht="15.75" customHeight="1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2:18" ht="15.75" customHeight="1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2:18" ht="15.75" customHeight="1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2:18" ht="15.75" customHeight="1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2:18" ht="15.75" customHeight="1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2:18" ht="15.75" customHeight="1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2:18" ht="15.75" customHeight="1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2:18" ht="15.75" customHeight="1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2:18" ht="15.75" customHeight="1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2:18" ht="15.75" customHeight="1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2:18" ht="15.75" customHeight="1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2:18" ht="15.75" customHeight="1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2:18" ht="15.75" customHeight="1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2:18" ht="15.75" customHeight="1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2:18" ht="15.75" customHeight="1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2:18" ht="15.75" customHeight="1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2:18" ht="15.75" customHeight="1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2:18" ht="15.75" customHeight="1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2:18" ht="15.75" customHeight="1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2:18" ht="15.75" customHeight="1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2:18" ht="15.75" customHeight="1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2:18" ht="15.75" customHeight="1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2:18" ht="15.75" customHeight="1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2:18" ht="15.75" customHeight="1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2:18" ht="15.75" customHeight="1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2:18" ht="15.75" customHeight="1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2:18" ht="15.75" customHeight="1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2:18" ht="15.75" customHeight="1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2:18" ht="15.75" customHeight="1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2:18" ht="15.75" customHeight="1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2:18" ht="15.75" customHeight="1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2:18" ht="15.75" customHeight="1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2:18" ht="15.75" customHeight="1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2:18" ht="15.75" customHeight="1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2:18" ht="15.75" customHeight="1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2:18" ht="15.75" customHeight="1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2:18" ht="15.75" customHeight="1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2:18" ht="15.75" customHeight="1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2:18" ht="15.75" customHeight="1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2:18" ht="15.75" customHeight="1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2:18" ht="15.75" customHeight="1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2:18" ht="15.75" customHeight="1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2:18" ht="15.75" customHeight="1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2:18" ht="15.75" customHeight="1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2:18" ht="15.75" customHeight="1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2:18" ht="15.75" customHeight="1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2:18" ht="15.75" customHeight="1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2:18" ht="15.75" customHeight="1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2:18" ht="15.75" customHeight="1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2:18" ht="15.75" customHeight="1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2:18" ht="15.75" customHeight="1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2:18" ht="15.75" customHeight="1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2:18" ht="15.75" customHeight="1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2:18" ht="15.75" customHeight="1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2:18" ht="15.75" customHeight="1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2:18" ht="15.75" customHeight="1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2:18" ht="15.75" customHeight="1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2:18" ht="15.75" customHeight="1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2:18" ht="15.75" customHeight="1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2:18" ht="15.75" customHeight="1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2:18" ht="15.75" customHeight="1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2:18" ht="15.75" customHeight="1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2:18" ht="15.75" customHeight="1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2:18" ht="15.75" customHeight="1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2:18" ht="15.75" customHeight="1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2:18" ht="15.75" customHeight="1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2:18" ht="15.75" customHeight="1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2:18" ht="15.75" customHeight="1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2:18" ht="15.75" customHeight="1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2:18" ht="15.75" customHeight="1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2:18" ht="15.75" customHeight="1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2:18" ht="15.75" customHeight="1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2:18" ht="15.75" customHeight="1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2:18" ht="15.75" customHeight="1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2:18" ht="15.75" customHeight="1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2:18" ht="15.75" customHeight="1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2:18" ht="15.75" customHeight="1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2:18" ht="15.75" customHeight="1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2:18" ht="15.75" customHeight="1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2:18" ht="15.75" customHeight="1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2:18" ht="15.75" customHeight="1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2:18" ht="15.75" customHeight="1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2:18" ht="15.75" customHeight="1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2:18" ht="15.75" customHeight="1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2:18" ht="15.75" customHeight="1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2:18" ht="15.75" customHeight="1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2:18" ht="15.75" customHeight="1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2:18" ht="15.75" customHeight="1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2:18" ht="15.75" customHeight="1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2:18" ht="15.75" customHeight="1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2:18" ht="15.75" customHeight="1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2:18" ht="15.75" customHeight="1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2:18" ht="15.75" customHeight="1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2:18" ht="15.75" customHeight="1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2:18" ht="15.75" customHeight="1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2:18" ht="15.75" customHeight="1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2:18" ht="15.75" customHeight="1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2:18" ht="15.75" customHeight="1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2:18" ht="15.75" customHeight="1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2:18" ht="15.75" customHeight="1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2:18" ht="15.75" customHeight="1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2:18" ht="15.75" customHeight="1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2:18" ht="15.75" customHeight="1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2:18" ht="15.75" customHeight="1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2:18" ht="15.75" customHeight="1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2:18" ht="15.75" customHeight="1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2:18" ht="15.75" customHeight="1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2:18" ht="15.75" customHeight="1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2:18" ht="15.75" customHeight="1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2:18" ht="15.75" customHeight="1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2:18" ht="15.75" customHeight="1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2:18" ht="15.75" customHeight="1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2:18" ht="15.75" customHeight="1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2:18" ht="15.75" customHeight="1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2:18" ht="15.75" customHeight="1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2:18" ht="15.75" customHeight="1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2:18" ht="15.75" customHeight="1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2:18" ht="15.75" customHeight="1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2:18" ht="15.75" customHeight="1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2:18" ht="15.75" customHeight="1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2:18" ht="15.75" customHeight="1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2:18" ht="15.75" customHeight="1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2:18" ht="15.75" customHeight="1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2:18" ht="15.75" customHeight="1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2:18" ht="15.75" customHeight="1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2:18" ht="15.75" customHeight="1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2:18" ht="15.75" customHeight="1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2:18" ht="15.75" customHeight="1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2:18" ht="15.75" customHeight="1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2:18" ht="15.75" customHeight="1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2:18" ht="15.75" customHeight="1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2:18" ht="15.75" customHeight="1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2:18" ht="15.75" customHeight="1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2:18" ht="15.75" customHeight="1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2:18" ht="15.75" customHeight="1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2:18" ht="15.75" customHeight="1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2:18" ht="15.75" customHeight="1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2:18" ht="15.75" customHeight="1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2:18" ht="15.75" customHeight="1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2:18" ht="15.75" customHeight="1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2:18" ht="15.75" customHeight="1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2:18" ht="15.75" customHeight="1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2:18" ht="15.75" customHeight="1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2:18" ht="15.75" customHeight="1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2:18" ht="15.75" customHeight="1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2:18" ht="15.75" customHeight="1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2:18" ht="15.75" customHeight="1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2:18" ht="15.75" customHeight="1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2:18" ht="15.75" customHeight="1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2:18" ht="15.75" customHeight="1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2:18" ht="15.75" customHeight="1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2:18" ht="15.75" customHeight="1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2:18" ht="15.75" customHeight="1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2:18" ht="15.75" customHeight="1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2:18" ht="15.75" customHeight="1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2:18" ht="15.75" customHeight="1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2:18" ht="15.75" customHeight="1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2:18" ht="15.75" customHeight="1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2:18" ht="15.75" customHeight="1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2:18" ht="15.75" customHeight="1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2:18" ht="15.75" customHeight="1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2:18" ht="15.75" customHeight="1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2:18" ht="15.75" customHeight="1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2:18" ht="15.75" customHeight="1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2:18" ht="15.75" customHeight="1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2:18" ht="15.75" customHeight="1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2:18" ht="15.75" customHeight="1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2:18" ht="15.75" customHeight="1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2:18" ht="15.75" customHeight="1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2:18" ht="15.75" customHeight="1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2:18" ht="15.75" customHeight="1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2:18" ht="15.75" customHeight="1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2:18" ht="15.75" customHeight="1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2:18" ht="15.75" customHeight="1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2:18" ht="15.75" customHeight="1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2:18" ht="15.75" customHeight="1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2:18" ht="15.75" customHeight="1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2:18" ht="15.75" customHeight="1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2:18" ht="15.75" customHeight="1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2:18" ht="15.75" customHeight="1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2:18" ht="15.75" customHeight="1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2:18" ht="15.75" customHeight="1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2:18" ht="15.75" customHeight="1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2:18" ht="15.75" customHeight="1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2:18" ht="15.75" customHeight="1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2:18" ht="15.75" customHeight="1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2:18" ht="15.75" customHeight="1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2:18" ht="15.75" customHeight="1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2:18" ht="15.75" customHeight="1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2:18" ht="15.75" customHeight="1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2:18" ht="15.75" customHeight="1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2:18" ht="15.75" customHeight="1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2:18" ht="15.75" customHeight="1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2:18" ht="15.75" customHeight="1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2:18" ht="15.75" customHeight="1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2:18" ht="15.75" customHeight="1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2:18" ht="15.75" customHeight="1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2:18" ht="15.75" customHeight="1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2:18" ht="15.75" customHeight="1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2:18" ht="15.75" customHeight="1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2:18" ht="15.75" customHeight="1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2:18" ht="15.75" customHeight="1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2:18" ht="15.75" customHeight="1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2:18" ht="15.75" customHeight="1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2:18" ht="15.75" customHeight="1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2:18" ht="15.75" customHeight="1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2:18" ht="15.75" customHeight="1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2:18" ht="15.75" customHeight="1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2:18" ht="15.75" customHeight="1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2:18" ht="15.75" customHeight="1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2:18" ht="15.75" customHeight="1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2:18" ht="15.75" customHeight="1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2:18" ht="15.75" customHeight="1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2:18" ht="15.75" customHeight="1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2:18" ht="15.75" customHeight="1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2:18" ht="15.75" customHeight="1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2:18" ht="15.75" customHeight="1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2:18" ht="15.75" customHeight="1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2:18" ht="15.75" customHeight="1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2:18" ht="15.75" customHeight="1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2:18" ht="15.75" customHeight="1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2:18" ht="15.75" customHeight="1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2:18" ht="15.75" customHeight="1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2:18" ht="15.75" customHeight="1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2:18" ht="15.75" customHeight="1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2:18" ht="15.75" customHeight="1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2:18" ht="15.75" customHeight="1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2:18" ht="15.75" customHeight="1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2:18" ht="15.75" customHeight="1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2:18" ht="15.75" customHeight="1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2:18" ht="15.75" customHeight="1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2:18" ht="15.75" customHeight="1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2:18" ht="15.75" customHeight="1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2:18" ht="15.75" customHeight="1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2:18" ht="15.75" customHeight="1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2:18" ht="15.75" customHeight="1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2:18" ht="15.75" customHeight="1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2:18" ht="15.75" customHeight="1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2:18" ht="15.75" customHeight="1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2:18" ht="15.75" customHeight="1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2:18" ht="15.75" customHeight="1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2:18" ht="15.75" customHeight="1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2:18" ht="15.75" customHeight="1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2:18" ht="15.75" customHeight="1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2:18" ht="15.75" customHeight="1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2:18" ht="15.75" customHeight="1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2:18" ht="15.75" customHeight="1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2:18" ht="15.75" customHeight="1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2:18" ht="15.75" customHeight="1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2:18" ht="15.75" customHeight="1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2:18" ht="15.75" customHeight="1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2:18" ht="15.75" customHeight="1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2:18" ht="15.75" customHeight="1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2:18" ht="15.75" customHeight="1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2:18" ht="15.75" customHeight="1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2:18" ht="15.75" customHeight="1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2:18" ht="15.75" customHeight="1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2:18" ht="15.75" customHeight="1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2:18" ht="15.75" customHeight="1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2:18" ht="15.75" customHeight="1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2:18" ht="15.75" customHeight="1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2:18" ht="15.75" customHeight="1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2:18" ht="15.75" customHeight="1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2:18" ht="15.75" customHeight="1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2:18" ht="15.75" customHeight="1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2:18" ht="15.75" customHeight="1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2:18" ht="15.75" customHeight="1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2:18" ht="15.75" customHeight="1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2:18" ht="15.75" customHeight="1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2:18" ht="15.75" customHeight="1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2:18" ht="15.75" customHeight="1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2:18" ht="15.75" customHeight="1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2:18" ht="15.75" customHeight="1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2:18" ht="15.75" customHeight="1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2:18" ht="15.75" customHeight="1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2:18" ht="15.75" customHeight="1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2:18" ht="15.75" customHeight="1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2:18" ht="15.75" customHeight="1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2:18" ht="15.75" customHeight="1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2:18" ht="15.75" customHeight="1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2:18" ht="15.75" customHeight="1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2:18" ht="15.75" customHeight="1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2:18" ht="15.75" customHeight="1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2:18" ht="15.75" customHeight="1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2:18" ht="15.75" customHeight="1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2:18" ht="15.75" customHeight="1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2:18" ht="15.75" customHeight="1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2:18" ht="15.75" customHeight="1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2:18" ht="15.75" customHeight="1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2:18" ht="15.75" customHeight="1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2:18" ht="15.75" customHeight="1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2:18" ht="15.75" customHeight="1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2:18" ht="15.75" customHeight="1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2:18" ht="15.75" customHeight="1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2:18" ht="15.75" customHeight="1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2:18" ht="15.75" customHeight="1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2:18" ht="15.75" customHeight="1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2:18" ht="15.75" customHeight="1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2:18" ht="15.75" customHeight="1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2:18" ht="15.75" customHeight="1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2:18" ht="15.75" customHeight="1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2:18" ht="15.75" customHeight="1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2:18" ht="15.75" customHeight="1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2:18" ht="15.75" customHeight="1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2:18" ht="15.75" customHeight="1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2:18" ht="15.75" customHeight="1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2:18" ht="15.75" customHeight="1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2:18" ht="15.75" customHeight="1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2:18" ht="15.75" customHeight="1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2:18" ht="15.75" customHeight="1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2:18" ht="15.75" customHeight="1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2:18" ht="15.75" customHeight="1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2:18" ht="15.75" customHeight="1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2:18" ht="15.75" customHeight="1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2:18" ht="15.75" customHeight="1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2:18" ht="15.75" customHeight="1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2:18" ht="15.75" customHeight="1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2:18" ht="15.75" customHeight="1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2:18" ht="15.75" customHeight="1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2:18" ht="15.75" customHeight="1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2:18" ht="15.75" customHeight="1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2:18" ht="15.75" customHeight="1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2:18" ht="15.75" customHeight="1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2:18" ht="15.75" customHeight="1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2:18" ht="15.75" customHeight="1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2:18" ht="15.75" customHeight="1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2:18" ht="15.75" customHeight="1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2:18" ht="15.75" customHeight="1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2:18" ht="15.75" customHeight="1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2:18" ht="15.75" customHeight="1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2:18" ht="15.75" customHeight="1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2:18" ht="15.75" customHeight="1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2:18" ht="15.75" customHeight="1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2:18" ht="15.75" customHeight="1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2:18" ht="15.75" customHeight="1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2:18" ht="15.75" customHeight="1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2:18" ht="15.75" customHeight="1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2:18" ht="15.75" customHeight="1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2:18" ht="15.75" customHeight="1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2:18" ht="15.75" customHeight="1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2:18" ht="15.75" customHeight="1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2:18" ht="15.75" customHeight="1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2:18" ht="15.75" customHeight="1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2:18" ht="15.75" customHeight="1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2:18" ht="15.75" customHeight="1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2:18" ht="15.75" customHeight="1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2:18" ht="15.75" customHeight="1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2:18" ht="15.75" customHeight="1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2:18" ht="15.75" customHeight="1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2:18" ht="15.75" customHeight="1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2:18" ht="15.75" customHeight="1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2:18" ht="15.75" customHeight="1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2:18" ht="15.75" customHeight="1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2:18" ht="15.75" customHeight="1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2:18" ht="15.75" customHeight="1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2:18" ht="15.75" customHeight="1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2:18" ht="15.75" customHeight="1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2:18" ht="15.75" customHeight="1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2:18" ht="15.75" customHeight="1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2:18" ht="15.75" customHeight="1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2:18" ht="15.75" customHeight="1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2:18" ht="15.75" customHeight="1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2:18" ht="15.75" customHeight="1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2:18" ht="15.75" customHeight="1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2:18" ht="15.75" customHeight="1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2:18" ht="15.75" customHeight="1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2:18" ht="15.75" customHeight="1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2:18" ht="15.75" customHeight="1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2:18" ht="15.75" customHeight="1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2:18" ht="15.75" customHeight="1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2:18" ht="15.75" customHeight="1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2:18" ht="15.75" customHeight="1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2:18" ht="15.75" customHeight="1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2:18" ht="15.75" customHeight="1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2:18" ht="15.75" customHeight="1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2:18" ht="15.75" customHeight="1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2:18" ht="15.75" customHeight="1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2:18" ht="15.75" customHeight="1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2:18" ht="15.75" customHeight="1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2:18" ht="15.75" customHeight="1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2:18" ht="15.75" customHeight="1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2:18" ht="15.75" customHeight="1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2:18" ht="15.75" customHeight="1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2:18" ht="15.75" customHeight="1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2:18" ht="15.75" customHeight="1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2:18" ht="15.75" customHeight="1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2:18" ht="15.75" customHeight="1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2:18" ht="15.75" customHeight="1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2:18" ht="15.75" customHeight="1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2:18" ht="15.75" customHeight="1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2:18" ht="15.75" customHeight="1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2:18" ht="15.75" customHeight="1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2:18" ht="15.75" customHeight="1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2:18" ht="15.75" customHeight="1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2:18" ht="15.75" customHeight="1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2:18" ht="15.75" customHeight="1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2:18" ht="15.75" customHeight="1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2:18" ht="15.75" customHeight="1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2:18" ht="15.75" customHeight="1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2:18" ht="15.75" customHeight="1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2:18" ht="15.75" customHeight="1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2:18" ht="15.75" customHeight="1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2:18" ht="15.75" customHeight="1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2:18" ht="15.75" customHeight="1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2:18" ht="15.75" customHeight="1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2:18" ht="15.75" customHeight="1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2:18" ht="15.75" customHeight="1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2:18" ht="15.75" customHeight="1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2:18" ht="15.75" customHeight="1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2:18" ht="15.75" customHeight="1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2:18" ht="15.75" customHeight="1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2:18" ht="15.75" customHeight="1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2:18" ht="15.75" customHeight="1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2:18" ht="15.75" customHeight="1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2:18" ht="15.75" customHeight="1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2:18" ht="15.75" customHeight="1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2:18" ht="15.75" customHeight="1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2:18" ht="15.75" customHeight="1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2:18" ht="15.75" customHeight="1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2:18" ht="15.75" customHeight="1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2:18" ht="15.75" customHeight="1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2:18" ht="15.75" customHeight="1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2:18" ht="15.75" customHeight="1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2:18" ht="15.75" customHeight="1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2:18" ht="15.75" customHeight="1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2:18" ht="15.75" customHeight="1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2:18" ht="15.75" customHeight="1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2:18" ht="15.75" customHeight="1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2:18" ht="15.75" customHeight="1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2:18" ht="15.75" customHeight="1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2:18" ht="15.75" customHeight="1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2:18" ht="15.75" customHeight="1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2:18" ht="15.75" customHeight="1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2:18" ht="15.75" customHeight="1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2:18" ht="15.75" customHeight="1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2:18" ht="15.75" customHeight="1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2:18" ht="15.75" customHeight="1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2:18" ht="15.75" customHeight="1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2:18" ht="15.75" customHeight="1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2:18" ht="15.75" customHeight="1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2:18" ht="15.75" customHeight="1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2:18" ht="15.75" customHeight="1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2:18" ht="15.75" customHeight="1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2:18" ht="15.75" customHeight="1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2:18" ht="15.75" customHeight="1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2:18" ht="15.75" customHeight="1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2:18" ht="15.75" customHeight="1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2:18" ht="15.75" customHeight="1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2:18" ht="15.75" customHeight="1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2:18" ht="15.75" customHeight="1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2:18" ht="15.75" customHeight="1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2:18" ht="15.75" customHeight="1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2:18" ht="15.75" customHeight="1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2:18" ht="15.75" customHeight="1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2:18" ht="15.75" customHeight="1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2:18" ht="15.75" customHeight="1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2:18" ht="15.75" customHeight="1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2:18" ht="15.75" customHeight="1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2:18" ht="15.75" customHeight="1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2:18" ht="15.75" customHeight="1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2:18" ht="15.75" customHeight="1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2:18" ht="15.75" customHeight="1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2:18" ht="15.75" customHeight="1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2:18" ht="15.75" customHeight="1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2:18" ht="15.75" customHeight="1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2:18" ht="15.75" customHeight="1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2:18" ht="15.75" customHeight="1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2:18" ht="15.75" customHeight="1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2:18" ht="15.75" customHeight="1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2:18" ht="15.75" customHeight="1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2:18" ht="15.75" customHeight="1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2:18" ht="15.75" customHeight="1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2:18" ht="15.75" customHeight="1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2:18" ht="15.75" customHeight="1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2:18" ht="15.75" customHeight="1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2:18" ht="15.75" customHeight="1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2:18" ht="15.75" customHeight="1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2:18" ht="15.75" customHeight="1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2:18" ht="15.75" customHeight="1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2:18" ht="15.75" customHeight="1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2:18" ht="15.75" customHeight="1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2:18" ht="15.75" customHeight="1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2:18" ht="15.75" customHeight="1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2:18" ht="15.75" customHeight="1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2:18" ht="15.75" customHeight="1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2:18" ht="15.75" customHeight="1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2:18" ht="15.75" customHeight="1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2:18" ht="15.75" customHeight="1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2:18" ht="15.75" customHeight="1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2:18" ht="15.75" customHeight="1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2:18" ht="15.75" customHeight="1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2:18" ht="15.75" customHeight="1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2:18" ht="15.75" customHeight="1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2:18" ht="15.75" customHeight="1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2:18" ht="15.75" customHeight="1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2:18" ht="15.75" customHeight="1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2:18" ht="15.75" customHeight="1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2:18" ht="15.75" customHeight="1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2:18" ht="15.75" customHeight="1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2:18" ht="15.75" customHeight="1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2:18" ht="15.75" customHeight="1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2:18" ht="15.75" customHeight="1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2:18" ht="15.75" customHeight="1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2:18" ht="15.75" customHeight="1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2:18" ht="15.75" customHeight="1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2:18" ht="15.75" customHeight="1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2:18" ht="15.75" customHeight="1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2:18" ht="15.75" customHeight="1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2:18" ht="15.75" customHeight="1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2:18" ht="15.75" customHeight="1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2:18" ht="15.75" customHeight="1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2:18" ht="15.75" customHeight="1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2:18" ht="15.75" customHeight="1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2:18" ht="15.75" customHeight="1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2:18" ht="15.75" customHeight="1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2:18" ht="15.75" customHeight="1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2:18" ht="15.75" customHeight="1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2:18" ht="15.75" customHeight="1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2:18" ht="15.75" customHeight="1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2:18" ht="15.75" customHeight="1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2:18" ht="15.75" customHeight="1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2:18" ht="15.75" customHeight="1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2:18" ht="15.75" customHeight="1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2:18" ht="15.75" customHeight="1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2:18" ht="15.75" customHeight="1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2:18" ht="15.75" customHeight="1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2:18" ht="15.75" customHeight="1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2:18" ht="15.75" customHeight="1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2:18" ht="15.75" customHeight="1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2:18" ht="15.75" customHeight="1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2:18" ht="15.75" customHeight="1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2:18" ht="15.75" customHeight="1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2:18" ht="15.75" customHeight="1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2:18" ht="15.75" customHeight="1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2:18" ht="15.75" customHeight="1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2:18" ht="15.75" customHeight="1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2:18" ht="15.75" customHeight="1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2:18" ht="15.75" customHeight="1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2:18" ht="15.75" customHeight="1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2:18" ht="15.75" customHeight="1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2:18" ht="15.75" customHeight="1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2:18" ht="15.75" customHeight="1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2:18" ht="15.75" customHeight="1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2:18" ht="15.75" customHeight="1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2:18" ht="15.75" customHeight="1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2:18" ht="15.75" customHeight="1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2:18" ht="15.75" customHeight="1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2:18" ht="15.75" customHeight="1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2:18" ht="15.75" customHeight="1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2:18" ht="15.75" customHeight="1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2:18" ht="15.75" customHeight="1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2:18" ht="15.75" customHeight="1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2:18" ht="15.75" customHeight="1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2:18" ht="15.75" customHeight="1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2:18" ht="15.75" customHeight="1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2:18" ht="15.75" customHeight="1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2:18" ht="15.75" customHeight="1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2:18" ht="15.75" customHeight="1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2:18" ht="15.75" customHeight="1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2:18" ht="15.75" customHeight="1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2:18" ht="15.75" customHeight="1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2:18" ht="15.75" customHeight="1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2:18" ht="15.75" customHeight="1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2:18" ht="15.75" customHeight="1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2:18" ht="15.75" customHeight="1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2:18" ht="15.75" customHeight="1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2:18" ht="15.75" customHeight="1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2:18" ht="15.75" customHeight="1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2:18" ht="15.75" customHeight="1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2:18" ht="15.75" customHeight="1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2:18" ht="15.75" customHeight="1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2:18" ht="15.75" customHeight="1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2:18" ht="15.75" customHeight="1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2:18" ht="15.75" customHeight="1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2:18" ht="15.75" customHeight="1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2:18" ht="15.75" customHeight="1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2:18" ht="15.75" customHeight="1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2:18" ht="15.75" customHeight="1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2:18" ht="15.75" customHeight="1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2:18" ht="15.75" customHeight="1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2:18" ht="15.75" customHeight="1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2:18" ht="15.75" customHeight="1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2:18" ht="15.75" customHeight="1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2:18" ht="15.75" customHeight="1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2:18" ht="15.75" customHeight="1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2:18" ht="15.75" customHeight="1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2:18" ht="15.75" customHeight="1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2:18" ht="15.75" customHeight="1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2:18" ht="15.75" customHeight="1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2:18" ht="15.75" customHeight="1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2:18" ht="15.75" customHeight="1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2:18" ht="15.75" customHeight="1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2:18" ht="15.75" customHeight="1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2:18" ht="15.75" customHeight="1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2:18" ht="15.75" customHeight="1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2:18" ht="15.75" customHeight="1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2:18" ht="15.75" customHeight="1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2:18" ht="15.75" customHeight="1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2:18" ht="15.75" customHeight="1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2:18" ht="15.75" customHeight="1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2:18" ht="15.75" customHeight="1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2:18" ht="15.75" customHeight="1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2:18" ht="15.75" customHeight="1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2:18" ht="15.75" customHeight="1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2:18" ht="15.75" customHeight="1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2:18" ht="15.75" customHeight="1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2:18" ht="15.75" customHeight="1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2:18" ht="15.75" customHeight="1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2:18" ht="15.75" customHeight="1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2:18" ht="15.75" customHeight="1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2:18" ht="15.75" customHeight="1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2:18" ht="15.75" customHeight="1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2:18" ht="15.75" customHeight="1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2:18" ht="15.75" customHeight="1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2:18" ht="15.75" customHeight="1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2:18" ht="15.75" customHeight="1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2:18" ht="15.75" customHeight="1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2:18" ht="15.75" customHeight="1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2:18" ht="15.75" customHeight="1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2:18" ht="15.75" customHeight="1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2:18" ht="15.75" customHeight="1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2:18" ht="15.75" customHeight="1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2:18" ht="15.75" customHeight="1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2:18" ht="15.75" customHeight="1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spans="2:18" ht="15.75" customHeight="1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2:18" ht="15.75" customHeight="1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spans="2:18" ht="15.75" customHeight="1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spans="2:18" ht="15.75" customHeight="1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spans="2:18" ht="15.75" customHeight="1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spans="2:18" ht="15.75" customHeight="1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2:18" ht="15.75" customHeight="1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2:18" ht="15.75" customHeight="1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2:18" ht="15.75" customHeight="1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2:18" ht="15.75" customHeight="1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2:18" ht="15.75" customHeight="1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spans="2:18" ht="15.75" customHeight="1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2:18" ht="15.75" customHeight="1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spans="2:18" ht="15.75" customHeight="1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2:18" ht="15.75" customHeight="1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2:18" ht="15.75" customHeight="1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2:18" ht="15.75" customHeight="1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2:18" ht="15.75" customHeight="1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2:18" ht="15.75" customHeight="1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2:18" ht="15.75" customHeight="1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2:18" ht="15.75" customHeight="1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2:18" ht="15.75" customHeight="1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2:18" ht="15.75" customHeight="1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spans="2:18" ht="15.75" customHeight="1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2:18" ht="15.75" customHeight="1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spans="2:18" ht="15.75" customHeight="1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2:18" ht="15.75" customHeight="1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spans="2:18" ht="15.75" customHeight="1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spans="2:18" ht="15.75" customHeight="1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spans="2:18" ht="15.75" customHeight="1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2:18" ht="15.75" customHeight="1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2:18" ht="15.75" customHeight="1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2:18" ht="15.75" customHeight="1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spans="2:18" ht="15.75" customHeight="1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2:18" ht="15.75" customHeight="1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2:18" ht="15.75" customHeight="1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spans="2:18" ht="15.75" customHeight="1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2:18" ht="15.75" customHeight="1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spans="2:18" ht="15.75" customHeight="1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2:18" ht="15.75" customHeight="1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spans="2:18" ht="15.75" customHeight="1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spans="2:18" ht="15.75" customHeight="1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spans="2:18" ht="15.75" customHeight="1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spans="2:18" ht="15.75" customHeight="1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spans="2:18" ht="15.75" customHeight="1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spans="2:18" ht="15.75" customHeight="1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spans="2:18" ht="15.75" customHeight="1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spans="2:18" ht="15.75" customHeight="1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spans="2:18" ht="15.75" customHeight="1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spans="2:18" ht="15.75" customHeight="1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spans="2:18" ht="15.75" customHeight="1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spans="2:18" ht="15.75" customHeight="1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spans="2:18" ht="15.75" customHeight="1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spans="2:18" ht="15.75" customHeight="1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spans="2:18" ht="15.75" customHeight="1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spans="2:18" ht="15.75" customHeight="1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spans="2:18" ht="15.75" customHeight="1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spans="2:18" ht="15.75" customHeight="1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spans="2:18" ht="15.75" customHeight="1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spans="2:18" ht="15.75" customHeight="1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spans="2:18" ht="15.75" customHeight="1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spans="2:18" ht="15.75" customHeight="1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spans="2:18" ht="15.75" customHeight="1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spans="2:18" ht="15.75" customHeight="1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spans="2:18" ht="15.75" customHeight="1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spans="2:18" ht="15.75" customHeight="1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spans="2:18" ht="15.75" customHeight="1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spans="2:18" ht="15.75" customHeight="1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spans="2:18" ht="15.75" customHeight="1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spans="2:18" ht="15.75" customHeight="1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spans="2:18" ht="15.75" customHeight="1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spans="2:18" ht="15.75" customHeight="1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spans="2:18" ht="15.75" customHeight="1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spans="2:18" ht="15.75" customHeight="1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spans="2:18" ht="15.75" customHeight="1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spans="2:18" ht="15.75" customHeight="1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spans="2:18" ht="15.75" customHeight="1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spans="2:18" ht="15.75" customHeight="1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spans="2:18" ht="15.75" customHeight="1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spans="2:18" ht="15.75" customHeight="1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spans="2:18" ht="15.75" customHeight="1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spans="2:18" ht="15.75" customHeight="1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spans="2:18" ht="15.75" customHeight="1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spans="2:18" ht="15.75" customHeight="1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spans="2:18" ht="15.75" customHeight="1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spans="2:18" ht="15.75" customHeight="1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spans="2:18" ht="15.75" customHeight="1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spans="2:18" ht="15.75" customHeight="1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spans="2:18" ht="15.75" customHeight="1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spans="2:18" ht="15.75" customHeight="1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spans="2:18" ht="15.75" customHeight="1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spans="2:18" ht="15.75" customHeight="1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spans="2:18" ht="15.75" customHeight="1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spans="2:18" ht="15.75" customHeight="1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spans="2:18" ht="15.75" customHeight="1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spans="2:18" ht="15.75" customHeight="1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spans="2:18" ht="15.75" customHeight="1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spans="2:18" ht="15.75" customHeight="1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spans="2:18" ht="15.75" customHeight="1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spans="2:18" ht="15.75" customHeight="1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spans="2:18" ht="15.75" customHeight="1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spans="2:18" ht="15.75" customHeight="1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spans="2:18" ht="15.75" customHeight="1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spans="2:18" ht="15.75" customHeight="1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spans="2:18" ht="15.75" customHeight="1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spans="2:18" ht="15.75" customHeight="1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spans="2:18" ht="15.75" customHeight="1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spans="2:18" ht="15.75" customHeight="1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spans="2:18" ht="15.75" customHeight="1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spans="2:18" ht="15.75" customHeight="1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spans="2:18" ht="15.75" customHeight="1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spans="2:18" ht="15.75" customHeight="1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spans="2:18" ht="15.75" customHeight="1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spans="2:18" ht="15.75" customHeight="1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spans="2:18" ht="15.75" customHeight="1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spans="2:18" ht="15.75" customHeight="1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spans="2:18" ht="15.75" customHeight="1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 spans="2:18" ht="15.75" customHeight="1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spans="2:18" ht="15.75" customHeight="1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 spans="2:18" ht="15.75" customHeight="1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spans="2:18" ht="15.75" customHeight="1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 spans="2:18" ht="15.75" customHeight="1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 spans="2:18" ht="15.75" customHeight="1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 spans="2:18" ht="15.75" customHeight="1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 spans="2:18" ht="15.75" customHeight="1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 spans="2:18" ht="15.75" customHeight="1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 spans="2:18" ht="15.75" customHeight="1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 spans="2:18" ht="15.75" customHeight="1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 spans="2:18" ht="15.75" customHeight="1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 spans="2:18" ht="15.75" customHeight="1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 spans="2:18" ht="15.75" customHeight="1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 spans="2:18" ht="15.75" customHeight="1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 spans="2:18" ht="15.75" customHeight="1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</sheetData>
  <mergeCells count="64">
    <mergeCell ref="B41:D41"/>
    <mergeCell ref="E41:F41"/>
    <mergeCell ref="B35:D35"/>
    <mergeCell ref="E35:F35"/>
    <mergeCell ref="C36:D36"/>
    <mergeCell ref="B37:D37"/>
    <mergeCell ref="E37:F37"/>
    <mergeCell ref="E39:F39"/>
    <mergeCell ref="C11:F11"/>
    <mergeCell ref="B26:E26"/>
    <mergeCell ref="F26:H26"/>
    <mergeCell ref="B39:D39"/>
    <mergeCell ref="C40:D40"/>
    <mergeCell ref="B27:C28"/>
    <mergeCell ref="D27:E27"/>
    <mergeCell ref="F27:H27"/>
    <mergeCell ref="D28:E28"/>
    <mergeCell ref="B23:C23"/>
    <mergeCell ref="B24:C24"/>
    <mergeCell ref="D24:E24"/>
    <mergeCell ref="F24:H24"/>
    <mergeCell ref="B25:E25"/>
    <mergeCell ref="F25:H25"/>
    <mergeCell ref="B21:C21"/>
    <mergeCell ref="B7:H7"/>
    <mergeCell ref="C8:D8"/>
    <mergeCell ref="G8:H8"/>
    <mergeCell ref="C9:F9"/>
    <mergeCell ref="C10:F10"/>
    <mergeCell ref="G4:H4"/>
    <mergeCell ref="B5:C5"/>
    <mergeCell ref="E5:G5"/>
    <mergeCell ref="C6:D6"/>
    <mergeCell ref="F6:G6"/>
    <mergeCell ref="B12:C12"/>
    <mergeCell ref="D12:F12"/>
    <mergeCell ref="F13:F15"/>
    <mergeCell ref="G13:H15"/>
    <mergeCell ref="D14:D15"/>
    <mergeCell ref="E14:E15"/>
    <mergeCell ref="B16:E16"/>
    <mergeCell ref="F16:H16"/>
    <mergeCell ref="B17:C17"/>
    <mergeCell ref="D17:E17"/>
    <mergeCell ref="F17:H17"/>
    <mergeCell ref="D18:E18"/>
    <mergeCell ref="F18:H18"/>
    <mergeCell ref="B18:C18"/>
    <mergeCell ref="B19:C19"/>
    <mergeCell ref="D19:E19"/>
    <mergeCell ref="F19:H19"/>
    <mergeCell ref="F28:H28"/>
    <mergeCell ref="B29:E29"/>
    <mergeCell ref="F29:H29"/>
    <mergeCell ref="B20:C20"/>
    <mergeCell ref="D20:E20"/>
    <mergeCell ref="F20:H20"/>
    <mergeCell ref="D23:E23"/>
    <mergeCell ref="F23:H23"/>
    <mergeCell ref="D21:E21"/>
    <mergeCell ref="F21:H21"/>
    <mergeCell ref="B22:C22"/>
    <mergeCell ref="D22:E22"/>
    <mergeCell ref="F22:H22"/>
  </mergeCells>
  <pageMargins left="0.11811023622047245" right="0.70866141732283472" top="0.35433070866141736" bottom="0.74803149606299213" header="0" footer="0"/>
  <pageSetup scale="8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Hoja1</vt:lpstr>
      <vt:lpstr>LIQ. </vt:lpstr>
      <vt:lpstr>'LIQ. '!Área_de_impresión</vt:lpstr>
      <vt:lpstr>'LIQ. '!LIQUIDACION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</dc:creator>
  <cp:lastModifiedBy>GROVER Choque</cp:lastModifiedBy>
  <cp:lastPrinted>2026-01-05T18:51:56Z</cp:lastPrinted>
  <dcterms:created xsi:type="dcterms:W3CDTF">2015-09-08T15:12:40Z</dcterms:created>
  <dcterms:modified xsi:type="dcterms:W3CDTF">2026-08-19T07:16:58Z</dcterms:modified>
</cp:coreProperties>
</file>