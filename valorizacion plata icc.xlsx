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9d4cecd286acf0/Desktop/tinkuriquna/front-end/"/>
    </mc:Choice>
  </mc:AlternateContent>
  <xr:revisionPtr revIDLastSave="8" documentId="13_ncr:1_{4682E921-4C12-4020-B0ED-3D992D27C9C2}" xr6:coauthVersionLast="47" xr6:coauthVersionMax="47" xr10:uidLastSave="{44E951A9-B6F4-42E0-91E6-C8E32F25D211}"/>
  <bookViews>
    <workbookView xWindow="-118" yWindow="-118" windowWidth="25370" windowHeight="13667" xr2:uid="{D64E43AB-31DC-40B4-9C45-A98CAC438E9D}"/>
  </bookViews>
  <sheets>
    <sheet name="prueb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2" i="1" l="1"/>
  <c r="S14" i="1"/>
  <c r="Q15" i="1"/>
  <c r="G21" i="1"/>
  <c r="L13" i="1" s="1"/>
  <c r="L12" i="1"/>
  <c r="G54" i="1"/>
  <c r="E50" i="1"/>
  <c r="E49" i="1"/>
  <c r="K48" i="1"/>
  <c r="E48" i="1"/>
  <c r="K47" i="1"/>
  <c r="K46" i="1"/>
  <c r="K45" i="1"/>
  <c r="F45" i="1"/>
  <c r="F44" i="1"/>
  <c r="K40" i="1"/>
  <c r="E40" i="1"/>
  <c r="E39" i="1"/>
  <c r="J61" i="1" s="1"/>
  <c r="K38" i="1"/>
  <c r="E38" i="1"/>
  <c r="L35" i="1"/>
  <c r="R30" i="1"/>
  <c r="J29" i="1"/>
  <c r="G20" i="1"/>
  <c r="G52" i="1" s="1"/>
  <c r="Z17" i="1"/>
  <c r="V17" i="1"/>
  <c r="L17" i="1"/>
  <c r="L49" i="1" s="1"/>
  <c r="Z15" i="1"/>
  <c r="V15" i="1"/>
  <c r="Z14" i="1"/>
  <c r="Z13" i="1"/>
  <c r="Q13" i="1"/>
  <c r="R13" i="1" s="1"/>
  <c r="R15" i="1" s="1"/>
  <c r="Z11" i="1"/>
  <c r="K7" i="1"/>
  <c r="K39" i="1" s="1"/>
  <c r="R6" i="1"/>
  <c r="L45" i="1" l="1"/>
  <c r="L14" i="1"/>
  <c r="L46" i="1" s="1"/>
  <c r="L16" i="1"/>
  <c r="L48" i="1" s="1"/>
  <c r="Q14" i="1"/>
  <c r="R14" i="1"/>
  <c r="L15" i="1"/>
  <c r="L47" i="1" s="1"/>
  <c r="L18" i="1"/>
  <c r="L50" i="1" s="1"/>
  <c r="G53" i="1"/>
  <c r="L44" i="1" l="1"/>
  <c r="L19" i="1"/>
  <c r="L51" i="1" l="1"/>
  <c r="G24" i="1"/>
  <c r="G56" i="1" s="1"/>
</calcChain>
</file>

<file path=xl/sharedStrings.xml><?xml version="1.0" encoding="utf-8"?>
<sst xmlns="http://schemas.openxmlformats.org/spreadsheetml/2006/main" count="99" uniqueCount="48">
  <si>
    <t>VALORIZACIÓN DE MINERALES</t>
  </si>
  <si>
    <t xml:space="preserve">No </t>
  </si>
  <si>
    <t xml:space="preserve"> </t>
  </si>
  <si>
    <t>PRODUCTO :</t>
  </si>
  <si>
    <t>PLATA plomo</t>
  </si>
  <si>
    <t>FECHA DE ENTREGA :</t>
  </si>
  <si>
    <t>CLIENTE :</t>
  </si>
  <si>
    <t>ANTONIO FLORES</t>
  </si>
  <si>
    <t>FECHA DE TRANSACCION :</t>
  </si>
  <si>
    <t>LOTE :</t>
  </si>
  <si>
    <t>ICC-</t>
  </si>
  <si>
    <t>C.I. :</t>
  </si>
  <si>
    <t>COOPERATIVA :</t>
  </si>
  <si>
    <t xml:space="preserve">       </t>
  </si>
  <si>
    <t>PLATA</t>
  </si>
  <si>
    <t>TABLA DE PRECIOS</t>
  </si>
  <si>
    <t>DESCUENTOS DE LEY</t>
  </si>
  <si>
    <t>PRECIOS</t>
  </si>
  <si>
    <t>%</t>
  </si>
  <si>
    <t>PESO BRUTO</t>
  </si>
  <si>
    <t>REGALIA MINERA</t>
  </si>
  <si>
    <t xml:space="preserve"> COT AG</t>
  </si>
  <si>
    <t>PESO NETO</t>
  </si>
  <si>
    <t>CAJA NACIONAL</t>
  </si>
  <si>
    <t>LEY</t>
  </si>
  <si>
    <t>COMIBOL</t>
  </si>
  <si>
    <t>TOTAL</t>
  </si>
  <si>
    <t>FEDECOMIN</t>
  </si>
  <si>
    <t>P/KL</t>
  </si>
  <si>
    <t>LEY AG</t>
  </si>
  <si>
    <t>FENCOMIN</t>
  </si>
  <si>
    <t>MINRITO</t>
  </si>
  <si>
    <t>LEY ZN %</t>
  </si>
  <si>
    <t>WISTERMAN</t>
  </si>
  <si>
    <t>LEY PB %</t>
  </si>
  <si>
    <t>APORTE COOP</t>
  </si>
  <si>
    <t>TC</t>
  </si>
  <si>
    <t>8.8</t>
  </si>
  <si>
    <t>DESCUENTO TOTAL</t>
  </si>
  <si>
    <t>PRECIO KILO AG</t>
  </si>
  <si>
    <t xml:space="preserve">  </t>
  </si>
  <si>
    <t>LIQUIDO PAGABLE</t>
  </si>
  <si>
    <t>ANTICIPO</t>
  </si>
  <si>
    <t>SALDO A PAGAR</t>
  </si>
  <si>
    <t>LIQUIDADOR</t>
  </si>
  <si>
    <t>FIRMA</t>
  </si>
  <si>
    <t>TELEFONO:</t>
  </si>
  <si>
    <t>PRECIO KILO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</si>
</sst>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00"/>
    <numFmt numFmtId="165" formatCode="_-* #,##0_-;\-* #,##0_-;_-* &quot;-&quot;??_-;_-@_-"/>
    <numFmt numFmtId="166" formatCode="0.000"/>
    <numFmt numFmtId="167" formatCode="_(* #,##0.00_);_(* \(#,##0.00\);_(* &quot;-&quot;??_);_(@_)"/>
    <numFmt numFmtId="168" formatCode="_(* #,##0.000_);_(* \(#,##0.000\);_(* &quot;-&quot;??_);_(@_)"/>
    <numFmt numFmtId="169" formatCode="_(* #,##0_);_(* \(#,##0\);_(* &quot;-&quot;??_);_(@_)"/>
    <numFmt numFmtId="170" formatCode="_-* #,##0.000_-;\-* #,##0.000_-;_-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4"/>
      <color theme="1"/>
      <name val="Annai MN Regular"/>
    </font>
    <font>
      <sz val="9"/>
      <color theme="1"/>
      <name val="Annai MN Regular"/>
    </font>
    <font>
      <b/>
      <sz val="20"/>
      <color theme="1"/>
      <name val="Agency FB"/>
      <family val="2"/>
    </font>
    <font>
      <sz val="20"/>
      <color theme="1"/>
      <name val="Agency FB"/>
      <family val="2"/>
    </font>
    <font>
      <b/>
      <sz val="9"/>
      <color theme="1"/>
      <name val="Annai MN Regular"/>
    </font>
    <font>
      <b/>
      <sz val="11"/>
      <color theme="1"/>
      <name val="Annai MN Regular"/>
    </font>
    <font>
      <sz val="11"/>
      <color theme="1"/>
      <name val="Annai MN Regular"/>
    </font>
    <font>
      <sz val="9"/>
      <color theme="0"/>
      <name val="Annai MN Regula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 Narrow"/>
      <family val="2"/>
    </font>
    <font>
      <u/>
      <sz val="9"/>
      <color theme="1"/>
      <name val="Annai MN Regula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6" xfId="2" applyFont="1" applyBorder="1" applyAlignment="1" applyProtection="1">
      <alignment horizontal="center"/>
      <protection locked="0"/>
    </xf>
    <xf numFmtId="164" fontId="3" fillId="0" borderId="7" xfId="2" applyNumberFormat="1" applyFont="1" applyBorder="1" applyAlignment="1" applyProtection="1">
      <alignment horizontal="center"/>
      <protection locked="0"/>
    </xf>
    <xf numFmtId="0" fontId="0" fillId="0" borderId="8" xfId="0" applyBorder="1"/>
    <xf numFmtId="0" fontId="4" fillId="0" borderId="9" xfId="2" applyFont="1" applyBorder="1" applyProtection="1">
      <protection locked="0"/>
    </xf>
    <xf numFmtId="0" fontId="4" fillId="0" borderId="10" xfId="2" applyFont="1" applyBorder="1" applyProtection="1">
      <protection locked="0"/>
    </xf>
    <xf numFmtId="0" fontId="4" fillId="0" borderId="11" xfId="2" applyFont="1" applyBorder="1" applyProtection="1">
      <protection locked="0"/>
    </xf>
    <xf numFmtId="0" fontId="5" fillId="2" borderId="0" xfId="2" applyFont="1" applyFill="1" applyProtection="1">
      <protection locked="0"/>
    </xf>
    <xf numFmtId="43" fontId="6" fillId="2" borderId="0" xfId="2" applyNumberFormat="1" applyFont="1" applyFill="1" applyProtection="1">
      <protection locked="0"/>
    </xf>
    <xf numFmtId="165" fontId="6" fillId="2" borderId="0" xfId="3" applyNumberFormat="1" applyFont="1" applyFill="1" applyBorder="1" applyProtection="1">
      <protection locked="0"/>
    </xf>
    <xf numFmtId="0" fontId="4" fillId="0" borderId="12" xfId="2" applyFont="1" applyBorder="1" applyProtection="1">
      <protection locked="0"/>
    </xf>
    <xf numFmtId="0" fontId="7" fillId="0" borderId="9" xfId="2" applyFont="1" applyBorder="1" applyProtection="1">
      <protection locked="0"/>
    </xf>
    <xf numFmtId="0" fontId="7" fillId="0" borderId="10" xfId="2" applyFont="1" applyBorder="1" applyProtection="1">
      <protection locked="0"/>
    </xf>
    <xf numFmtId="14" fontId="4" fillId="0" borderId="10" xfId="2" applyNumberFormat="1" applyFont="1" applyBorder="1" applyProtection="1">
      <protection locked="0"/>
    </xf>
    <xf numFmtId="0" fontId="4" fillId="0" borderId="5" xfId="2" applyFont="1" applyBorder="1" applyProtection="1">
      <protection locked="0"/>
    </xf>
    <xf numFmtId="43" fontId="0" fillId="0" borderId="0" xfId="0" applyNumberFormat="1"/>
    <xf numFmtId="0" fontId="7" fillId="0" borderId="12" xfId="2" applyFont="1" applyBorder="1" applyProtection="1">
      <protection locked="0"/>
    </xf>
    <xf numFmtId="0" fontId="4" fillId="0" borderId="0" xfId="2" applyFont="1" applyProtection="1">
      <protection locked="0"/>
    </xf>
    <xf numFmtId="0" fontId="7" fillId="0" borderId="0" xfId="2" applyFont="1" applyProtection="1">
      <protection locked="0"/>
    </xf>
    <xf numFmtId="14" fontId="4" fillId="0" borderId="0" xfId="2" applyNumberFormat="1" applyFont="1" applyProtection="1">
      <protection hidden="1"/>
    </xf>
    <xf numFmtId="0" fontId="7" fillId="0" borderId="13" xfId="2" applyFont="1" applyBorder="1" applyProtection="1">
      <protection locked="0"/>
    </xf>
    <xf numFmtId="0" fontId="4" fillId="0" borderId="14" xfId="2" applyFont="1" applyBorder="1" applyProtection="1">
      <protection locked="0"/>
    </xf>
    <xf numFmtId="0" fontId="7" fillId="0" borderId="14" xfId="2" applyFont="1" applyBorder="1" applyAlignment="1" applyProtection="1">
      <alignment horizontal="center"/>
      <protection locked="0"/>
    </xf>
    <xf numFmtId="0" fontId="7" fillId="0" borderId="14" xfId="2" applyFont="1" applyBorder="1" applyProtection="1">
      <protection locked="0"/>
    </xf>
    <xf numFmtId="0" fontId="4" fillId="0" borderId="15" xfId="2" applyFont="1" applyBorder="1" applyProtection="1">
      <protection locked="0"/>
    </xf>
    <xf numFmtId="0" fontId="4" fillId="0" borderId="13" xfId="2" applyFont="1" applyBorder="1" applyProtection="1">
      <protection locked="0"/>
    </xf>
    <xf numFmtId="0" fontId="2" fillId="0" borderId="16" xfId="2" applyBorder="1" applyProtection="1">
      <protection locked="0"/>
    </xf>
    <xf numFmtId="165" fontId="9" fillId="2" borderId="0" xfId="3" applyNumberFormat="1" applyFont="1" applyFill="1" applyBorder="1" applyAlignment="1" applyProtection="1">
      <alignment vertical="center"/>
      <protection locked="0"/>
    </xf>
    <xf numFmtId="0" fontId="2" fillId="0" borderId="16" xfId="2" applyBorder="1" applyAlignment="1" applyProtection="1">
      <alignment horizontal="center"/>
      <protection locked="0"/>
    </xf>
    <xf numFmtId="0" fontId="4" fillId="0" borderId="6" xfId="2" applyFont="1" applyBorder="1" applyProtection="1">
      <protection locked="0"/>
    </xf>
    <xf numFmtId="0" fontId="4" fillId="0" borderId="18" xfId="2" applyFont="1" applyBorder="1" applyProtection="1">
      <protection locked="0"/>
    </xf>
    <xf numFmtId="166" fontId="4" fillId="0" borderId="0" xfId="2" applyNumberFormat="1" applyFont="1" applyAlignment="1" applyProtection="1">
      <alignment horizontal="center"/>
      <protection locked="0"/>
    </xf>
    <xf numFmtId="10" fontId="10" fillId="0" borderId="22" xfId="4" applyNumberFormat="1" applyFont="1" applyBorder="1" applyAlignment="1" applyProtection="1">
      <alignment horizontal="center"/>
      <protection locked="0"/>
    </xf>
    <xf numFmtId="167" fontId="4" fillId="0" borderId="22" xfId="5" applyFont="1" applyBorder="1" applyProtection="1">
      <protection hidden="1"/>
    </xf>
    <xf numFmtId="0" fontId="8" fillId="2" borderId="23" xfId="2" applyFont="1" applyFill="1" applyBorder="1" applyAlignment="1" applyProtection="1">
      <alignment vertical="center"/>
      <protection locked="0"/>
    </xf>
    <xf numFmtId="0" fontId="8" fillId="2" borderId="23" xfId="2" applyFont="1" applyFill="1" applyBorder="1" applyAlignment="1" applyProtection="1">
      <alignment horizontal="center" vertical="center"/>
      <protection locked="0"/>
    </xf>
    <xf numFmtId="4" fontId="8" fillId="0" borderId="23" xfId="2" applyNumberFormat="1" applyFont="1" applyBorder="1" applyAlignment="1" applyProtection="1">
      <alignment vertical="center"/>
      <protection locked="0"/>
    </xf>
    <xf numFmtId="0" fontId="2" fillId="0" borderId="0" xfId="2" applyProtection="1">
      <protection locked="0"/>
    </xf>
    <xf numFmtId="10" fontId="4" fillId="0" borderId="24" xfId="4" applyNumberFormat="1" applyFont="1" applyBorder="1" applyAlignment="1" applyProtection="1">
      <alignment horizontal="center"/>
      <protection locked="0"/>
    </xf>
    <xf numFmtId="0" fontId="8" fillId="2" borderId="16" xfId="2" applyFont="1" applyFill="1" applyBorder="1" applyAlignment="1" applyProtection="1">
      <alignment vertical="center"/>
      <protection locked="0"/>
    </xf>
    <xf numFmtId="43" fontId="8" fillId="2" borderId="16" xfId="1" applyFont="1" applyFill="1" applyBorder="1" applyAlignment="1" applyProtection="1">
      <alignment horizontal="center" vertical="center"/>
      <protection locked="0"/>
    </xf>
    <xf numFmtId="43" fontId="8" fillId="2" borderId="21" xfId="1" applyFont="1" applyFill="1" applyBorder="1" applyAlignment="1" applyProtection="1">
      <alignment horizontal="center" vertical="center"/>
      <protection locked="0"/>
    </xf>
    <xf numFmtId="43" fontId="9" fillId="2" borderId="21" xfId="1" applyFont="1" applyFill="1" applyBorder="1" applyAlignment="1" applyProtection="1">
      <alignment vertical="center"/>
      <protection hidden="1"/>
    </xf>
    <xf numFmtId="166" fontId="4" fillId="0" borderId="0" xfId="2" applyNumberFormat="1" applyFont="1" applyProtection="1">
      <protection locked="0"/>
    </xf>
    <xf numFmtId="43" fontId="8" fillId="0" borderId="25" xfId="1" applyFont="1" applyFill="1" applyBorder="1" applyAlignment="1" applyProtection="1">
      <alignment horizontal="center" vertical="center"/>
      <protection locked="0"/>
    </xf>
    <xf numFmtId="43" fontId="8" fillId="0" borderId="26" xfId="1" applyFont="1" applyFill="1" applyBorder="1" applyAlignment="1" applyProtection="1">
      <alignment horizontal="center" vertical="center"/>
      <protection locked="0"/>
    </xf>
    <xf numFmtId="43" fontId="9" fillId="0" borderId="26" xfId="1" applyFont="1" applyFill="1" applyBorder="1" applyAlignment="1" applyProtection="1">
      <alignment vertical="center"/>
      <protection hidden="1"/>
    </xf>
    <xf numFmtId="43" fontId="9" fillId="2" borderId="16" xfId="1" applyFont="1" applyFill="1" applyBorder="1" applyAlignment="1" applyProtection="1">
      <alignment vertical="center"/>
      <protection hidden="1"/>
    </xf>
    <xf numFmtId="43" fontId="9" fillId="3" borderId="21" xfId="1" applyFont="1" applyFill="1" applyBorder="1" applyAlignment="1" applyProtection="1">
      <alignment vertical="center"/>
      <protection locked="0"/>
    </xf>
    <xf numFmtId="0" fontId="4" fillId="0" borderId="7" xfId="2" applyFont="1" applyBorder="1" applyProtection="1">
      <protection locked="0"/>
    </xf>
    <xf numFmtId="1" fontId="7" fillId="0" borderId="7" xfId="1" applyNumberFormat="1" applyFont="1" applyBorder="1" applyAlignment="1" applyProtection="1">
      <alignment horizontal="center"/>
      <protection locked="0"/>
    </xf>
    <xf numFmtId="0" fontId="4" fillId="0" borderId="0" xfId="2" applyFont="1" applyAlignment="1" applyProtection="1">
      <alignment horizontal="center"/>
      <protection locked="0"/>
    </xf>
    <xf numFmtId="0" fontId="11" fillId="0" borderId="0" xfId="0" applyFont="1"/>
    <xf numFmtId="0" fontId="8" fillId="2" borderId="25" xfId="2" applyFont="1" applyFill="1" applyBorder="1" applyAlignment="1" applyProtection="1">
      <alignment vertical="center"/>
      <protection locked="0"/>
    </xf>
    <xf numFmtId="43" fontId="7" fillId="0" borderId="15" xfId="1" applyFont="1" applyBorder="1" applyAlignment="1" applyProtection="1">
      <alignment horizontal="center"/>
      <protection locked="0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4" fillId="0" borderId="15" xfId="1" applyNumberFormat="1" applyFont="1" applyBorder="1" applyAlignment="1" applyProtection="1">
      <alignment horizontal="center"/>
      <protection locked="0"/>
    </xf>
    <xf numFmtId="2" fontId="4" fillId="0" borderId="0" xfId="2" applyNumberFormat="1" applyFont="1" applyAlignment="1" applyProtection="1">
      <alignment horizontal="center"/>
      <protection locked="0"/>
    </xf>
    <xf numFmtId="10" fontId="4" fillId="0" borderId="27" xfId="4" applyNumberFormat="1" applyFont="1" applyBorder="1" applyAlignment="1" applyProtection="1">
      <alignment horizontal="center"/>
      <protection locked="0"/>
    </xf>
    <xf numFmtId="167" fontId="12" fillId="0" borderId="0" xfId="0" applyNumberFormat="1" applyFont="1"/>
    <xf numFmtId="0" fontId="0" fillId="0" borderId="16" xfId="0" applyBorder="1" applyAlignment="1">
      <alignment horizontal="center"/>
    </xf>
    <xf numFmtId="169" fontId="4" fillId="0" borderId="27" xfId="5" applyNumberFormat="1" applyFont="1" applyBorder="1" applyProtection="1">
      <protection locked="0"/>
    </xf>
    <xf numFmtId="0" fontId="8" fillId="0" borderId="0" xfId="2" applyFont="1" applyAlignment="1" applyProtection="1">
      <alignment vertical="center"/>
      <protection locked="0"/>
    </xf>
    <xf numFmtId="170" fontId="0" fillId="0" borderId="0" xfId="0" applyNumberFormat="1"/>
    <xf numFmtId="165" fontId="4" fillId="0" borderId="22" xfId="1" applyNumberFormat="1" applyFont="1" applyBorder="1" applyAlignment="1" applyProtection="1">
      <protection hidden="1"/>
    </xf>
    <xf numFmtId="2" fontId="4" fillId="0" borderId="0" xfId="2" applyNumberFormat="1" applyFont="1" applyAlignment="1" applyProtection="1">
      <alignment horizontal="left" indent="1"/>
      <protection locked="0"/>
    </xf>
    <xf numFmtId="167" fontId="4" fillId="0" borderId="0" xfId="2" applyNumberFormat="1" applyFont="1" applyProtection="1">
      <protection locked="0"/>
    </xf>
    <xf numFmtId="165" fontId="4" fillId="0" borderId="7" xfId="1" applyNumberFormat="1" applyFont="1" applyBorder="1" applyAlignment="1" applyProtection="1">
      <protection hidden="1"/>
    </xf>
    <xf numFmtId="167" fontId="4" fillId="0" borderId="0" xfId="5" applyFont="1" applyBorder="1" applyProtection="1">
      <protection locked="0"/>
    </xf>
    <xf numFmtId="165" fontId="4" fillId="0" borderId="27" xfId="1" applyNumberFormat="1" applyFont="1" applyBorder="1" applyAlignment="1" applyProtection="1">
      <protection locked="0"/>
    </xf>
    <xf numFmtId="169" fontId="4" fillId="0" borderId="7" xfId="5" applyNumberFormat="1" applyFont="1" applyBorder="1" applyProtection="1">
      <protection hidden="1"/>
    </xf>
    <xf numFmtId="0" fontId="4" fillId="0" borderId="28" xfId="2" applyFont="1" applyBorder="1" applyProtection="1">
      <protection locked="0"/>
    </xf>
    <xf numFmtId="0" fontId="0" fillId="0" borderId="30" xfId="0" applyBorder="1"/>
    <xf numFmtId="0" fontId="4" fillId="0" borderId="31" xfId="2" applyFont="1" applyBorder="1" applyProtection="1">
      <protection locked="0"/>
    </xf>
    <xf numFmtId="0" fontId="13" fillId="0" borderId="31" xfId="0" applyFont="1" applyBorder="1"/>
    <xf numFmtId="0" fontId="0" fillId="0" borderId="32" xfId="0" applyBorder="1"/>
    <xf numFmtId="0" fontId="13" fillId="0" borderId="0" xfId="0" applyFont="1"/>
    <xf numFmtId="0" fontId="2" fillId="0" borderId="2" xfId="2" applyBorder="1" applyProtection="1">
      <protection locked="0"/>
    </xf>
    <xf numFmtId="164" fontId="3" fillId="0" borderId="7" xfId="2" applyNumberFormat="1" applyFont="1" applyBorder="1" applyAlignment="1" applyProtection="1">
      <alignment horizontal="center"/>
      <protection hidden="1"/>
    </xf>
    <xf numFmtId="0" fontId="2" fillId="0" borderId="11" xfId="2" applyBorder="1" applyProtection="1">
      <protection locked="0"/>
    </xf>
    <xf numFmtId="0" fontId="4" fillId="0" borderId="9" xfId="2" applyFont="1" applyBorder="1" applyAlignment="1" applyProtection="1">
      <alignment horizontal="left" indent="1"/>
      <protection locked="0"/>
    </xf>
    <xf numFmtId="0" fontId="4" fillId="0" borderId="10" xfId="2" applyFont="1" applyBorder="1" applyProtection="1">
      <protection hidden="1"/>
    </xf>
    <xf numFmtId="14" fontId="4" fillId="0" borderId="10" xfId="2" applyNumberFormat="1" applyFont="1" applyBorder="1" applyProtection="1">
      <protection hidden="1"/>
    </xf>
    <xf numFmtId="0" fontId="2" fillId="0" borderId="5" xfId="2" applyBorder="1" applyProtection="1">
      <protection locked="0"/>
    </xf>
    <xf numFmtId="0" fontId="4" fillId="0" borderId="12" xfId="2" applyFont="1" applyBorder="1" applyAlignment="1" applyProtection="1">
      <alignment horizontal="left" indent="1"/>
      <protection locked="0"/>
    </xf>
    <xf numFmtId="0" fontId="4" fillId="0" borderId="0" xfId="2" applyFont="1" applyProtection="1">
      <protection hidden="1"/>
    </xf>
    <xf numFmtId="0" fontId="4" fillId="0" borderId="13" xfId="2" applyFont="1" applyBorder="1" applyAlignment="1" applyProtection="1">
      <alignment horizontal="left" indent="1"/>
      <protection locked="0"/>
    </xf>
    <xf numFmtId="0" fontId="4" fillId="0" borderId="14" xfId="2" applyFont="1" applyBorder="1" applyProtection="1">
      <protection hidden="1"/>
    </xf>
    <xf numFmtId="0" fontId="4" fillId="0" borderId="14" xfId="2" applyFont="1" applyBorder="1" applyAlignment="1" applyProtection="1">
      <alignment horizontal="center"/>
      <protection locked="0"/>
    </xf>
    <xf numFmtId="0" fontId="2" fillId="0" borderId="15" xfId="2" applyBorder="1" applyProtection="1">
      <protection locked="0"/>
    </xf>
    <xf numFmtId="0" fontId="4" fillId="0" borderId="6" xfId="2" applyFont="1" applyBorder="1" applyAlignment="1" applyProtection="1">
      <alignment horizontal="left" indent="2"/>
      <protection locked="0"/>
    </xf>
    <xf numFmtId="10" fontId="10" fillId="0" borderId="24" xfId="4" applyNumberFormat="1" applyFont="1" applyBorder="1" applyAlignment="1" applyProtection="1">
      <alignment horizontal="center"/>
      <protection hidden="1"/>
    </xf>
    <xf numFmtId="167" fontId="4" fillId="0" borderId="5" xfId="5" applyFont="1" applyBorder="1" applyProtection="1">
      <protection hidden="1"/>
    </xf>
    <xf numFmtId="0" fontId="4" fillId="0" borderId="13" xfId="2" applyFont="1" applyBorder="1" applyAlignment="1" applyProtection="1">
      <alignment horizontal="left" indent="2"/>
      <protection locked="0"/>
    </xf>
    <xf numFmtId="10" fontId="4" fillId="0" borderId="24" xfId="4" applyNumberFormat="1" applyFont="1" applyBorder="1" applyAlignment="1" applyProtection="1">
      <alignment horizontal="center"/>
      <protection hidden="1"/>
    </xf>
    <xf numFmtId="43" fontId="4" fillId="0" borderId="15" xfId="1" applyFont="1" applyBorder="1" applyAlignment="1" applyProtection="1">
      <alignment horizontal="center"/>
      <protection locked="0"/>
    </xf>
    <xf numFmtId="167" fontId="4" fillId="0" borderId="7" xfId="5" applyFont="1" applyBorder="1" applyProtection="1">
      <protection hidden="1"/>
    </xf>
    <xf numFmtId="165" fontId="4" fillId="0" borderId="22" xfId="1" applyNumberFormat="1" applyFont="1" applyBorder="1" applyAlignment="1" applyProtection="1">
      <alignment horizontal="center"/>
      <protection hidden="1"/>
    </xf>
    <xf numFmtId="165" fontId="4" fillId="0" borderId="7" xfId="1" applyNumberFormat="1" applyFont="1" applyBorder="1" applyAlignment="1" applyProtection="1">
      <alignment horizontal="center"/>
      <protection hidden="1"/>
    </xf>
    <xf numFmtId="165" fontId="4" fillId="0" borderId="27" xfId="1" applyNumberFormat="1" applyFont="1" applyBorder="1" applyAlignment="1" applyProtection="1">
      <alignment horizontal="center"/>
      <protection hidden="1"/>
    </xf>
    <xf numFmtId="165" fontId="4" fillId="0" borderId="0" xfId="1" applyNumberFormat="1" applyFont="1" applyBorder="1" applyAlignment="1" applyProtection="1">
      <alignment horizontal="center"/>
      <protection locked="0"/>
    </xf>
    <xf numFmtId="0" fontId="0" fillId="0" borderId="31" xfId="0" applyBorder="1"/>
    <xf numFmtId="0" fontId="3" fillId="0" borderId="0" xfId="2" applyFont="1" applyAlignment="1" applyProtection="1">
      <alignment horizontal="center"/>
      <protection locked="0"/>
    </xf>
    <xf numFmtId="0" fontId="3" fillId="0" borderId="5" xfId="2" applyFont="1" applyBorder="1" applyAlignment="1" applyProtection="1">
      <alignment horizontal="center"/>
      <protection locked="0"/>
    </xf>
    <xf numFmtId="0" fontId="7" fillId="0" borderId="6" xfId="2" applyFont="1" applyBorder="1" applyAlignment="1" applyProtection="1">
      <alignment horizontal="center"/>
      <protection locked="0"/>
    </xf>
    <xf numFmtId="0" fontId="7" fillId="0" borderId="17" xfId="2" applyFont="1" applyBorder="1" applyAlignment="1" applyProtection="1">
      <alignment horizontal="center"/>
      <protection locked="0"/>
    </xf>
    <xf numFmtId="0" fontId="7" fillId="0" borderId="18" xfId="2" applyFont="1" applyBorder="1" applyAlignment="1" applyProtection="1">
      <alignment horizontal="center"/>
      <protection locked="0"/>
    </xf>
    <xf numFmtId="0" fontId="8" fillId="2" borderId="19" xfId="2" applyFont="1" applyFill="1" applyBorder="1" applyAlignment="1" applyProtection="1">
      <alignment horizontal="center" vertical="center"/>
      <protection locked="0"/>
    </xf>
    <xf numFmtId="0" fontId="8" fillId="2" borderId="20" xfId="2" applyFont="1" applyFill="1" applyBorder="1" applyAlignment="1" applyProtection="1">
      <alignment horizontal="center" vertical="center"/>
      <protection locked="0"/>
    </xf>
    <xf numFmtId="0" fontId="8" fillId="2" borderId="21" xfId="2" applyFont="1" applyFill="1" applyBorder="1" applyAlignment="1" applyProtection="1">
      <alignment horizontal="center" vertical="center"/>
      <protection locked="0"/>
    </xf>
    <xf numFmtId="1" fontId="7" fillId="0" borderId="6" xfId="2" applyNumberFormat="1" applyFont="1" applyBorder="1" applyAlignment="1" applyProtection="1">
      <alignment horizontal="center"/>
      <protection locked="0"/>
    </xf>
    <xf numFmtId="1" fontId="7" fillId="0" borderId="18" xfId="2" applyNumberFormat="1" applyFont="1" applyBorder="1" applyAlignment="1" applyProtection="1">
      <alignment horizontal="center"/>
      <protection locked="0"/>
    </xf>
    <xf numFmtId="1" fontId="4" fillId="0" borderId="13" xfId="1" applyNumberFormat="1" applyFont="1" applyBorder="1" applyAlignment="1" applyProtection="1">
      <alignment horizontal="center"/>
      <protection locked="0"/>
    </xf>
    <xf numFmtId="1" fontId="4" fillId="0" borderId="15" xfId="1" applyNumberFormat="1" applyFont="1" applyBorder="1" applyAlignment="1" applyProtection="1">
      <alignment horizontal="center"/>
      <protection locked="0"/>
    </xf>
    <xf numFmtId="0" fontId="0" fillId="0" borderId="16" xfId="0" applyBorder="1" applyAlignment="1">
      <alignment horizontal="center"/>
    </xf>
    <xf numFmtId="0" fontId="14" fillId="0" borderId="6" xfId="2" applyFont="1" applyBorder="1" applyAlignment="1" applyProtection="1">
      <alignment horizontal="center"/>
      <protection locked="0"/>
    </xf>
    <xf numFmtId="0" fontId="14" fillId="0" borderId="17" xfId="2" applyFont="1" applyBorder="1" applyAlignment="1" applyProtection="1">
      <alignment horizontal="center"/>
      <protection locked="0"/>
    </xf>
    <xf numFmtId="0" fontId="14" fillId="0" borderId="18" xfId="2" applyFont="1" applyBorder="1" applyAlignment="1" applyProtection="1">
      <alignment horizontal="center"/>
      <protection locked="0"/>
    </xf>
    <xf numFmtId="0" fontId="4" fillId="0" borderId="29" xfId="2" applyFont="1" applyBorder="1" applyAlignment="1" applyProtection="1">
      <alignment horizontal="center"/>
      <protection locked="0"/>
    </xf>
    <xf numFmtId="0" fontId="4" fillId="0" borderId="0" xfId="2" applyFont="1" applyAlignment="1" applyProtection="1">
      <alignment horizontal="center"/>
      <protection hidden="1"/>
    </xf>
    <xf numFmtId="1" fontId="4" fillId="0" borderId="6" xfId="2" applyNumberFormat="1" applyFont="1" applyBorder="1" applyAlignment="1" applyProtection="1">
      <alignment horizontal="center"/>
      <protection hidden="1"/>
    </xf>
    <xf numFmtId="1" fontId="4" fillId="0" borderId="18" xfId="2" applyNumberFormat="1" applyFont="1" applyBorder="1" applyAlignment="1" applyProtection="1">
      <alignment horizontal="center"/>
      <protection hidden="1"/>
    </xf>
    <xf numFmtId="0" fontId="4" fillId="0" borderId="6" xfId="2" applyFont="1" applyBorder="1" applyAlignment="1" applyProtection="1">
      <alignment horizontal="center"/>
      <protection locked="0"/>
    </xf>
    <xf numFmtId="0" fontId="4" fillId="0" borderId="17" xfId="2" applyFont="1" applyBorder="1" applyAlignment="1" applyProtection="1">
      <alignment horizontal="center"/>
      <protection locked="0"/>
    </xf>
    <xf numFmtId="0" fontId="4" fillId="0" borderId="18" xfId="2" applyFont="1" applyBorder="1" applyAlignment="1" applyProtection="1">
      <alignment horizontal="center"/>
      <protection locked="0"/>
    </xf>
  </cellXfs>
  <cellStyles count="6">
    <cellStyle name="Millares" xfId="1" builtinId="3"/>
    <cellStyle name="Millares 2" xfId="3" xr:uid="{A3215946-A8CA-40B4-9FE3-2397ADBB2CAD}"/>
    <cellStyle name="Millares 3" xfId="5" xr:uid="{C7B36473-9732-4698-BBF6-B796A5D57F66}"/>
    <cellStyle name="Normal" xfId="0" builtinId="0"/>
    <cellStyle name="Normal 3" xfId="2" xr:uid="{A9E38A7F-109A-4A76-9454-47AA08F7BD20}"/>
    <cellStyle name="Porcentaje 2" xfId="4" xr:uid="{4D5546FC-6663-402F-A916-077784E339F4}"/>
  </cellStyles>
  <dxfs count="0"/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E1F4-0C85-4B3A-B8BE-AB4E5631F5D4}">
  <sheetPr>
    <tabColor theme="5" tint="0.79998168889431442"/>
    <pageSetUpPr fitToPage="1"/>
  </sheetPr>
  <dimension ref="B1:AA63"/>
  <sheetViews>
    <sheetView tabSelected="1" zoomScale="104" zoomScaleNormal="80" workbookViewId="0">
      <selection activeCell="Q20" sqref="Q20"/>
    </sheetView>
  </sheetViews>
  <sheetFormatPr baseColWidth="10" defaultRowHeight="15.05"/>
  <cols>
    <col min="1" max="1" width="5.6640625" customWidth="1"/>
    <col min="2" max="2" width="3.44140625" customWidth="1"/>
    <col min="3" max="3" width="1.88671875" customWidth="1"/>
    <col min="4" max="4" width="13.109375" customWidth="1"/>
    <col min="6" max="6" width="7.109375" customWidth="1"/>
    <col min="7" max="7" width="11" customWidth="1"/>
    <col min="8" max="8" width="10.44140625" customWidth="1"/>
    <col min="10" max="10" width="12.21875" customWidth="1"/>
    <col min="12" max="12" width="8.88671875" customWidth="1"/>
    <col min="13" max="13" width="2.21875" customWidth="1"/>
    <col min="14" max="14" width="4.21875" customWidth="1"/>
    <col min="15" max="15" width="16.21875" customWidth="1"/>
    <col min="16" max="16" width="11" customWidth="1"/>
    <col min="17" max="17" width="14.5546875" customWidth="1"/>
    <col min="18" max="18" width="16.21875" customWidth="1"/>
    <col min="19" max="19" width="16.109375" customWidth="1"/>
    <col min="20" max="20" width="8.21875" customWidth="1"/>
    <col min="21" max="21" width="9.33203125" customWidth="1"/>
    <col min="25" max="25" width="10" customWidth="1"/>
  </cols>
  <sheetData>
    <row r="1" spans="2:27" ht="4.75" customHeight="1" thickBot="1"/>
    <row r="2" spans="2:27" ht="3.6" customHeight="1" thickBot="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27" ht="19" thickTop="1" thickBot="1">
      <c r="B3" s="4"/>
      <c r="C3" s="108" t="s">
        <v>0</v>
      </c>
      <c r="D3" s="108"/>
      <c r="E3" s="108"/>
      <c r="F3" s="108"/>
      <c r="G3" s="108"/>
      <c r="H3" s="108"/>
      <c r="I3" s="108"/>
      <c r="J3" s="109"/>
      <c r="K3" s="5" t="s">
        <v>1</v>
      </c>
      <c r="L3" s="6">
        <v>1</v>
      </c>
      <c r="N3" s="7"/>
      <c r="P3" t="s">
        <v>2</v>
      </c>
    </row>
    <row r="4" spans="2:27" ht="3.6" customHeight="1" thickTop="1" thickBot="1">
      <c r="B4" s="4"/>
      <c r="N4" s="7"/>
    </row>
    <row r="5" spans="2:27" ht="8.35" customHeight="1" thickTop="1" thickBot="1">
      <c r="B5" s="4"/>
      <c r="C5" s="8"/>
      <c r="D5" s="9"/>
      <c r="E5" s="9"/>
      <c r="F5" s="9"/>
      <c r="G5" s="9"/>
      <c r="H5" s="9"/>
      <c r="I5" s="9"/>
      <c r="J5" s="9"/>
      <c r="K5" s="9"/>
      <c r="L5" s="9"/>
      <c r="M5" s="10"/>
      <c r="N5" s="7"/>
      <c r="Q5" s="11"/>
      <c r="R5" s="12"/>
      <c r="S5" s="12"/>
      <c r="T5" s="13"/>
    </row>
    <row r="6" spans="2:27" ht="15.75" thickTop="1">
      <c r="B6" s="4"/>
      <c r="C6" s="14"/>
      <c r="D6" s="15" t="s">
        <v>3</v>
      </c>
      <c r="E6" s="9" t="s">
        <v>4</v>
      </c>
      <c r="F6" s="9"/>
      <c r="G6" s="9"/>
      <c r="H6" s="9"/>
      <c r="I6" s="16" t="s">
        <v>5</v>
      </c>
      <c r="J6" s="16"/>
      <c r="K6" s="17">
        <v>46230</v>
      </c>
      <c r="L6" s="10"/>
      <c r="M6" s="18"/>
      <c r="N6" s="7"/>
      <c r="Q6">
        <v>512626</v>
      </c>
      <c r="R6" s="19">
        <f>Q6-S14</f>
        <v>492166</v>
      </c>
    </row>
    <row r="7" spans="2:27">
      <c r="B7" s="4"/>
      <c r="C7" s="14"/>
      <c r="D7" s="20" t="s">
        <v>6</v>
      </c>
      <c r="E7" s="21" t="s">
        <v>7</v>
      </c>
      <c r="F7" s="21"/>
      <c r="G7" s="21"/>
      <c r="H7" s="21"/>
      <c r="I7" s="22" t="s">
        <v>8</v>
      </c>
      <c r="J7" s="22"/>
      <c r="K7" s="23">
        <f ca="1">TODAY()</f>
        <v>46253</v>
      </c>
      <c r="L7" s="18"/>
      <c r="M7" s="18"/>
      <c r="N7" s="7"/>
      <c r="O7" t="s">
        <v>2</v>
      </c>
    </row>
    <row r="8" spans="2:27" ht="15.75" thickBot="1">
      <c r="B8" s="4"/>
      <c r="C8" s="14"/>
      <c r="D8" s="24" t="s">
        <v>9</v>
      </c>
      <c r="E8" s="25" t="s">
        <v>10</v>
      </c>
      <c r="F8" s="25"/>
      <c r="G8" s="26" t="s">
        <v>11</v>
      </c>
      <c r="H8" s="25"/>
      <c r="I8" s="27" t="s">
        <v>12</v>
      </c>
      <c r="J8" s="27"/>
      <c r="K8" s="25"/>
      <c r="L8" s="28"/>
      <c r="M8" s="18"/>
      <c r="N8" s="7"/>
    </row>
    <row r="9" spans="2:27" ht="8.35" customHeight="1" thickTop="1" thickBot="1">
      <c r="B9" s="4"/>
      <c r="C9" s="29"/>
      <c r="D9" s="25"/>
      <c r="E9" s="25"/>
      <c r="F9" s="25"/>
      <c r="G9" s="25"/>
      <c r="H9" s="25"/>
      <c r="I9" s="25"/>
      <c r="J9" s="25"/>
      <c r="K9" s="25"/>
      <c r="L9" s="25"/>
      <c r="M9" s="28"/>
      <c r="N9" s="7"/>
    </row>
    <row r="10" spans="2:27" ht="17.05" thickTop="1" thickBot="1">
      <c r="B10" s="4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7"/>
      <c r="O10" t="s">
        <v>13</v>
      </c>
      <c r="U10" s="30" t="s">
        <v>14</v>
      </c>
      <c r="V10" s="30" t="s">
        <v>15</v>
      </c>
      <c r="W10" s="30"/>
      <c r="Y10" s="30" t="s">
        <v>14</v>
      </c>
      <c r="Z10" s="30" t="s">
        <v>15</v>
      </c>
      <c r="AA10" s="30"/>
    </row>
    <row r="11" spans="2:27" ht="17.05" thickTop="1" thickBot="1">
      <c r="B11" s="4"/>
      <c r="C11" s="21"/>
      <c r="D11" s="21"/>
      <c r="E11" s="21"/>
      <c r="F11" s="21"/>
      <c r="G11" s="21"/>
      <c r="H11" s="21"/>
      <c r="I11" s="110" t="s">
        <v>16</v>
      </c>
      <c r="J11" s="111"/>
      <c r="K11" s="111"/>
      <c r="L11" s="112"/>
      <c r="M11" s="21"/>
      <c r="N11" s="7"/>
      <c r="P11" s="113" t="s">
        <v>17</v>
      </c>
      <c r="Q11" s="114"/>
      <c r="R11" s="114"/>
      <c r="S11" s="115"/>
      <c r="T11" s="31"/>
      <c r="U11" s="32">
        <v>20</v>
      </c>
      <c r="V11" s="32">
        <v>63</v>
      </c>
      <c r="W11" s="32" t="s">
        <v>18</v>
      </c>
      <c r="Y11" s="32">
        <v>90</v>
      </c>
      <c r="Z11" s="32">
        <f>83-5</f>
        <v>78</v>
      </c>
      <c r="AA11" s="32" t="s">
        <v>18</v>
      </c>
    </row>
    <row r="12" spans="2:27" ht="17.05" thickTop="1" thickBot="1">
      <c r="B12" s="4"/>
      <c r="C12" s="21"/>
      <c r="D12" s="33" t="s">
        <v>19</v>
      </c>
      <c r="E12" s="34"/>
      <c r="F12" s="116">
        <v>1000</v>
      </c>
      <c r="G12" s="117"/>
      <c r="H12" s="35"/>
      <c r="I12" s="8" t="s">
        <v>20</v>
      </c>
      <c r="J12" s="10"/>
      <c r="K12" s="36">
        <v>6.8000000000000005E-2</v>
      </c>
      <c r="L12" s="37">
        <f>G21*K12</f>
        <v>1391.2800000000002</v>
      </c>
      <c r="M12" s="21"/>
      <c r="N12" s="7"/>
      <c r="P12" s="38" t="s">
        <v>21</v>
      </c>
      <c r="Q12" s="39">
        <v>75.569999999999993</v>
      </c>
      <c r="R12" s="40">
        <f>Q12*100/100</f>
        <v>75.569999999999993</v>
      </c>
      <c r="S12" s="40"/>
      <c r="T12" s="41"/>
      <c r="U12" s="32">
        <v>30</v>
      </c>
      <c r="V12" s="32">
        <v>68</v>
      </c>
      <c r="W12" s="32" t="s">
        <v>18</v>
      </c>
      <c r="Y12" s="32">
        <v>100</v>
      </c>
      <c r="Z12" s="32">
        <v>81</v>
      </c>
      <c r="AA12" s="32" t="s">
        <v>18</v>
      </c>
    </row>
    <row r="13" spans="2:27" ht="17.05" thickTop="1" thickBot="1">
      <c r="B13" s="4"/>
      <c r="C13" s="21"/>
      <c r="D13" s="29" t="s">
        <v>22</v>
      </c>
      <c r="E13" s="25"/>
      <c r="F13" s="118">
        <v>930</v>
      </c>
      <c r="G13" s="119"/>
      <c r="H13" s="35"/>
      <c r="I13" s="14" t="s">
        <v>23</v>
      </c>
      <c r="J13" s="18"/>
      <c r="K13" s="42">
        <v>1.7999999999999999E-2</v>
      </c>
      <c r="L13" s="37">
        <f>G21*K13</f>
        <v>368.28</v>
      </c>
      <c r="M13" s="21"/>
      <c r="N13" s="7"/>
      <c r="P13" s="43" t="s">
        <v>24</v>
      </c>
      <c r="Q13" s="44">
        <f>E16</f>
        <v>30</v>
      </c>
      <c r="R13" s="45">
        <f>Q13*100%/31.1035*Q12*0.000045</f>
        <v>3.2800006430144519E-3</v>
      </c>
      <c r="S13" s="46"/>
      <c r="U13" s="32">
        <v>40</v>
      </c>
      <c r="V13" s="32">
        <v>70</v>
      </c>
      <c r="W13" s="32" t="s">
        <v>18</v>
      </c>
      <c r="Y13" s="32">
        <v>200</v>
      </c>
      <c r="Z13" s="32">
        <f>87-5</f>
        <v>82</v>
      </c>
      <c r="AA13" s="32" t="s">
        <v>18</v>
      </c>
    </row>
    <row r="14" spans="2:27" ht="17.05" thickTop="1" thickBot="1">
      <c r="B14" s="4"/>
      <c r="C14" s="21"/>
      <c r="D14" s="21"/>
      <c r="E14" s="21"/>
      <c r="F14" s="21"/>
      <c r="G14" s="47"/>
      <c r="H14" s="47"/>
      <c r="I14" s="14" t="s">
        <v>25</v>
      </c>
      <c r="J14" s="18"/>
      <c r="K14" s="42">
        <v>0.01</v>
      </c>
      <c r="L14" s="37">
        <f>G21*K14</f>
        <v>204.6</v>
      </c>
      <c r="M14" s="21"/>
      <c r="N14" s="7"/>
      <c r="P14" s="38" t="s">
        <v>26</v>
      </c>
      <c r="Q14" s="48">
        <f>Q15*R15</f>
        <v>21352.804186024081</v>
      </c>
      <c r="R14" s="49">
        <f>R15*Q15</f>
        <v>21352.804186024081</v>
      </c>
      <c r="S14" s="50">
        <f>S15*F13</f>
        <v>20460</v>
      </c>
      <c r="U14" s="32">
        <v>50</v>
      </c>
      <c r="V14" s="32">
        <v>73</v>
      </c>
      <c r="W14" s="32" t="s">
        <v>18</v>
      </c>
      <c r="Y14" s="32">
        <v>300</v>
      </c>
      <c r="Z14" s="32">
        <f>88-5</f>
        <v>83</v>
      </c>
      <c r="AA14" s="32" t="s">
        <v>18</v>
      </c>
    </row>
    <row r="15" spans="2:27" ht="17.05" thickTop="1" thickBot="1">
      <c r="B15" s="4"/>
      <c r="C15" s="21"/>
      <c r="D15" s="21"/>
      <c r="E15" s="21"/>
      <c r="F15" s="21"/>
      <c r="G15" s="21"/>
      <c r="H15" s="21"/>
      <c r="I15" s="14" t="s">
        <v>27</v>
      </c>
      <c r="J15" s="18"/>
      <c r="K15" s="42">
        <v>0.01</v>
      </c>
      <c r="L15" s="37">
        <f>G21*K15</f>
        <v>204.6</v>
      </c>
      <c r="M15" s="21"/>
      <c r="N15" s="7"/>
      <c r="P15" s="43" t="s">
        <v>28</v>
      </c>
      <c r="Q15" s="51">
        <f>-F12*7%+F12</f>
        <v>930</v>
      </c>
      <c r="R15" s="46">
        <f>R13*1000*7</f>
        <v>22.960004501101164</v>
      </c>
      <c r="S15" s="52">
        <v>22</v>
      </c>
      <c r="U15" s="32">
        <v>60</v>
      </c>
      <c r="V15" s="32">
        <f>79-5</f>
        <v>74</v>
      </c>
      <c r="W15" s="32" t="s">
        <v>18</v>
      </c>
      <c r="Y15" s="32">
        <v>400</v>
      </c>
      <c r="Z15" s="32">
        <f>89-5</f>
        <v>84</v>
      </c>
      <c r="AA15" s="32" t="s">
        <v>18</v>
      </c>
    </row>
    <row r="16" spans="2:27" ht="17.05" thickTop="1" thickBot="1">
      <c r="B16" s="4"/>
      <c r="C16" s="21"/>
      <c r="D16" s="53" t="s">
        <v>29</v>
      </c>
      <c r="E16" s="54">
        <v>30</v>
      </c>
      <c r="F16" s="55"/>
      <c r="G16" s="56"/>
      <c r="H16" s="56"/>
      <c r="I16" s="14" t="s">
        <v>30</v>
      </c>
      <c r="J16" s="18"/>
      <c r="K16" s="42">
        <v>4.0000000000000001E-3</v>
      </c>
      <c r="L16" s="37">
        <f>G21*K16</f>
        <v>81.84</v>
      </c>
      <c r="M16" s="21"/>
      <c r="N16" s="7"/>
      <c r="P16" s="57" t="s">
        <v>31</v>
      </c>
      <c r="R16" s="19"/>
      <c r="U16" s="32">
        <v>70</v>
      </c>
      <c r="V16" s="32">
        <v>75</v>
      </c>
      <c r="W16" s="32" t="s">
        <v>18</v>
      </c>
      <c r="Y16" s="32">
        <v>500</v>
      </c>
      <c r="Z16" s="32">
        <v>85</v>
      </c>
      <c r="AA16" s="32" t="s">
        <v>18</v>
      </c>
    </row>
    <row r="17" spans="2:27" ht="17.05" thickTop="1" thickBot="1">
      <c r="B17" s="4"/>
      <c r="C17" s="21"/>
      <c r="D17" s="53" t="s">
        <v>32</v>
      </c>
      <c r="E17" s="58"/>
      <c r="F17" s="55"/>
      <c r="G17" s="56"/>
      <c r="H17" s="56"/>
      <c r="I17" s="14" t="s">
        <v>33</v>
      </c>
      <c r="J17" s="18"/>
      <c r="K17" s="42">
        <v>0</v>
      </c>
      <c r="L17" s="37">
        <f>G29*K17</f>
        <v>0</v>
      </c>
      <c r="M17" s="21"/>
      <c r="N17" s="7"/>
      <c r="Q17" s="59"/>
      <c r="R17" s="60"/>
      <c r="S17" s="61"/>
      <c r="U17" s="32">
        <v>80</v>
      </c>
      <c r="V17" s="32">
        <f>81-5</f>
        <v>76</v>
      </c>
      <c r="W17" s="32" t="s">
        <v>18</v>
      </c>
      <c r="Y17" s="32">
        <v>600</v>
      </c>
      <c r="Z17" s="32">
        <f>92-5</f>
        <v>87</v>
      </c>
      <c r="AA17" s="32" t="s">
        <v>18</v>
      </c>
    </row>
    <row r="18" spans="2:27" ht="16.399999999999999" thickTop="1" thickBot="1">
      <c r="B18" s="4"/>
      <c r="C18" s="21"/>
      <c r="D18" s="53" t="s">
        <v>34</v>
      </c>
      <c r="E18" s="62">
        <v>6</v>
      </c>
      <c r="F18" s="63"/>
      <c r="G18" s="56"/>
      <c r="H18" s="56"/>
      <c r="I18" s="29" t="s">
        <v>35</v>
      </c>
      <c r="J18" s="28"/>
      <c r="K18" s="64">
        <v>0</v>
      </c>
      <c r="L18" s="37">
        <f>G21*K18</f>
        <v>0</v>
      </c>
      <c r="M18" s="21"/>
      <c r="N18" s="7"/>
      <c r="Q18" s="59"/>
      <c r="R18" s="65"/>
      <c r="S18" s="61"/>
      <c r="U18" s="120" t="s">
        <v>36</v>
      </c>
      <c r="V18" s="120"/>
      <c r="W18" s="66" t="s">
        <v>37</v>
      </c>
      <c r="Y18" s="120" t="s">
        <v>36</v>
      </c>
      <c r="Z18" s="120"/>
      <c r="AA18" s="66">
        <v>9</v>
      </c>
    </row>
    <row r="19" spans="2:27" ht="16.399999999999999" thickTop="1" thickBot="1">
      <c r="B19" s="4"/>
      <c r="C19" s="21"/>
      <c r="D19" s="21"/>
      <c r="E19" s="55"/>
      <c r="F19" s="55"/>
      <c r="G19" s="21"/>
      <c r="H19" s="21"/>
      <c r="I19" s="121" t="s">
        <v>38</v>
      </c>
      <c r="J19" s="122"/>
      <c r="K19" s="123"/>
      <c r="L19" s="67">
        <f>SUM(L12:L18)</f>
        <v>2250.6000000000004</v>
      </c>
      <c r="M19" s="21"/>
      <c r="N19" s="7"/>
      <c r="P19" s="68"/>
      <c r="Q19" s="61"/>
      <c r="R19" s="69"/>
    </row>
    <row r="20" spans="2:27" ht="16.399999999999999" thickTop="1" thickBot="1">
      <c r="B20" s="4"/>
      <c r="C20" s="21"/>
      <c r="D20" s="21" t="s">
        <v>39</v>
      </c>
      <c r="E20" s="21"/>
      <c r="F20" s="21"/>
      <c r="G20" s="70">
        <f>S15</f>
        <v>22</v>
      </c>
      <c r="H20" s="71"/>
      <c r="I20" s="72" t="s">
        <v>40</v>
      </c>
      <c r="J20" s="21"/>
      <c r="K20" s="55"/>
      <c r="L20" s="21"/>
      <c r="M20" s="21"/>
      <c r="N20" s="7"/>
      <c r="P20" s="61"/>
      <c r="Q20" s="61"/>
      <c r="S20" s="61"/>
    </row>
    <row r="21" spans="2:27" ht="16.399999999999999" thickTop="1" thickBot="1">
      <c r="B21" s="4"/>
      <c r="C21" s="21"/>
      <c r="D21" s="21" t="s">
        <v>41</v>
      </c>
      <c r="E21" s="21"/>
      <c r="F21" s="21"/>
      <c r="G21" s="73">
        <f>S14</f>
        <v>20460</v>
      </c>
      <c r="H21" s="74"/>
      <c r="I21" s="21"/>
      <c r="J21" s="21"/>
      <c r="K21" s="55"/>
      <c r="L21" s="21"/>
      <c r="M21" s="21"/>
      <c r="N21" s="7"/>
      <c r="P21" s="61"/>
    </row>
    <row r="22" spans="2:27" ht="16.2" customHeight="1" thickTop="1" thickBot="1">
      <c r="B22" s="4"/>
      <c r="C22" s="21"/>
      <c r="D22" s="21" t="s">
        <v>42</v>
      </c>
      <c r="E22" s="21"/>
      <c r="F22" s="21"/>
      <c r="G22" s="75">
        <v>355</v>
      </c>
      <c r="H22" s="74"/>
      <c r="I22" s="74"/>
      <c r="J22" s="21"/>
      <c r="K22" s="21"/>
      <c r="L22" s="21"/>
      <c r="M22" s="21"/>
      <c r="N22" s="7"/>
      <c r="P22" s="61"/>
    </row>
    <row r="23" spans="2:27" ht="7.2" customHeight="1" thickTop="1" thickBot="1">
      <c r="B23" s="4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7"/>
    </row>
    <row r="24" spans="2:27" ht="16.399999999999999" thickTop="1" thickBot="1">
      <c r="B24" s="4"/>
      <c r="C24" s="21"/>
      <c r="D24" s="22" t="s">
        <v>43</v>
      </c>
      <c r="E24" s="21"/>
      <c r="F24" s="21"/>
      <c r="G24" s="76">
        <f>G21-G22-L19</f>
        <v>17854.400000000001</v>
      </c>
      <c r="H24" s="74"/>
      <c r="I24" s="72"/>
      <c r="J24" s="21"/>
      <c r="K24" s="21"/>
      <c r="L24" s="21"/>
      <c r="M24" s="21"/>
      <c r="N24" s="7"/>
    </row>
    <row r="25" spans="2:27" ht="15.75" thickTop="1">
      <c r="B25" s="4"/>
      <c r="C25" s="21"/>
      <c r="D25" s="21"/>
      <c r="E25" s="21"/>
      <c r="F25" s="21"/>
      <c r="G25" s="74"/>
      <c r="H25" s="74"/>
      <c r="I25" s="21"/>
      <c r="J25" s="21"/>
      <c r="K25" s="21"/>
      <c r="L25" s="21"/>
      <c r="M25" s="21"/>
      <c r="N25" s="7"/>
    </row>
    <row r="26" spans="2:27">
      <c r="B26" s="4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7"/>
      <c r="P26" t="s">
        <v>2</v>
      </c>
    </row>
    <row r="27" spans="2:27">
      <c r="B27" s="4"/>
      <c r="C27" s="21"/>
      <c r="D27" s="77"/>
      <c r="E27" s="77"/>
      <c r="F27" s="77"/>
      <c r="G27" s="77"/>
      <c r="H27" s="21"/>
      <c r="I27" s="77"/>
      <c r="J27" s="77"/>
      <c r="K27" s="77"/>
      <c r="L27" s="21"/>
      <c r="M27" s="21"/>
      <c r="N27" s="7"/>
    </row>
    <row r="28" spans="2:27">
      <c r="B28" s="4"/>
      <c r="C28" s="21"/>
      <c r="D28" s="124" t="s">
        <v>44</v>
      </c>
      <c r="E28" s="124"/>
      <c r="F28" s="124"/>
      <c r="G28" s="124"/>
      <c r="H28" s="55"/>
      <c r="I28" s="124" t="s">
        <v>45</v>
      </c>
      <c r="J28" s="124"/>
      <c r="K28" s="124"/>
      <c r="L28" s="21"/>
      <c r="M28" s="21"/>
      <c r="N28" s="7"/>
    </row>
    <row r="29" spans="2:27">
      <c r="B29" s="4"/>
      <c r="C29" s="21"/>
      <c r="D29" s="21"/>
      <c r="E29" s="21"/>
      <c r="F29" s="21"/>
      <c r="G29" s="21"/>
      <c r="H29" s="21"/>
      <c r="I29" s="21" t="s">
        <v>6</v>
      </c>
      <c r="J29" s="125" t="str">
        <f>E7</f>
        <v>ANTONIO FLORES</v>
      </c>
      <c r="K29" s="125"/>
      <c r="L29" s="21"/>
      <c r="M29" s="21"/>
      <c r="N29" s="7"/>
    </row>
    <row r="30" spans="2:27">
      <c r="B30" s="4"/>
      <c r="C30" s="21"/>
      <c r="D30" s="21"/>
      <c r="E30" s="21"/>
      <c r="F30" s="21"/>
      <c r="G30" s="21"/>
      <c r="H30" s="21"/>
      <c r="I30" s="21" t="s">
        <v>11</v>
      </c>
      <c r="J30" s="125"/>
      <c r="K30" s="125"/>
      <c r="L30" s="21"/>
      <c r="M30" s="21"/>
      <c r="N30" s="7"/>
      <c r="R30">
        <f>258000+105000</f>
        <v>363000</v>
      </c>
    </row>
    <row r="31" spans="2:27" ht="15.75" thickBot="1">
      <c r="B31" s="78"/>
      <c r="C31" s="79"/>
      <c r="D31" s="79"/>
      <c r="E31" s="79"/>
      <c r="F31" s="79"/>
      <c r="G31" s="79"/>
      <c r="H31" s="79"/>
      <c r="I31" s="80" t="s">
        <v>46</v>
      </c>
      <c r="J31" s="79"/>
      <c r="K31" s="79"/>
      <c r="L31" s="79"/>
      <c r="M31" s="79"/>
      <c r="N31" s="81"/>
    </row>
    <row r="32" spans="2:27">
      <c r="C32" s="21"/>
      <c r="D32" s="21"/>
      <c r="E32" s="21"/>
      <c r="F32" s="21"/>
      <c r="G32" s="21"/>
      <c r="H32" s="21"/>
      <c r="I32" s="82"/>
      <c r="J32" s="21"/>
      <c r="K32" s="21"/>
      <c r="L32" s="21"/>
      <c r="M32" s="21"/>
    </row>
    <row r="33" spans="2:14" ht="11.45" customHeight="1" thickBot="1"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2:14" ht="4.25" customHeight="1" thickBot="1">
      <c r="B34" s="1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3"/>
    </row>
    <row r="35" spans="2:14" ht="19" thickTop="1" thickBot="1">
      <c r="B35" s="4"/>
      <c r="C35" s="108" t="s">
        <v>0</v>
      </c>
      <c r="D35" s="108"/>
      <c r="E35" s="108"/>
      <c r="F35" s="108"/>
      <c r="G35" s="108"/>
      <c r="H35" s="108"/>
      <c r="I35" s="108"/>
      <c r="J35" s="109"/>
      <c r="K35" s="5" t="s">
        <v>1</v>
      </c>
      <c r="L35" s="84">
        <f>L3</f>
        <v>1</v>
      </c>
      <c r="M35" s="41"/>
      <c r="N35" s="7"/>
    </row>
    <row r="36" spans="2:14" ht="5.4" customHeight="1" thickTop="1" thickBot="1">
      <c r="B36" s="4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41"/>
      <c r="N36" s="7"/>
    </row>
    <row r="37" spans="2:14" ht="8.35" customHeight="1" thickTop="1" thickBot="1">
      <c r="B37" s="4"/>
      <c r="C37" s="8"/>
      <c r="D37" s="9"/>
      <c r="E37" s="9"/>
      <c r="F37" s="9"/>
      <c r="G37" s="9"/>
      <c r="H37" s="9"/>
      <c r="I37" s="9"/>
      <c r="J37" s="9"/>
      <c r="K37" s="9"/>
      <c r="L37" s="9"/>
      <c r="M37" s="85"/>
      <c r="N37" s="7"/>
    </row>
    <row r="38" spans="2:14" ht="16.399999999999999" thickTop="1">
      <c r="B38" s="4"/>
      <c r="C38" s="14"/>
      <c r="D38" s="86" t="s">
        <v>3</v>
      </c>
      <c r="E38" s="87" t="str">
        <f>E6</f>
        <v>PLATA plomo</v>
      </c>
      <c r="F38" s="9"/>
      <c r="G38" s="9"/>
      <c r="H38" s="9"/>
      <c r="I38" s="9" t="s">
        <v>5</v>
      </c>
      <c r="J38" s="9"/>
      <c r="K38" s="88">
        <f>K6</f>
        <v>46230</v>
      </c>
      <c r="L38" s="10"/>
      <c r="M38" s="89"/>
      <c r="N38" s="7"/>
    </row>
    <row r="39" spans="2:14" ht="15.75">
      <c r="B39" s="4"/>
      <c r="C39" s="14"/>
      <c r="D39" s="90" t="s">
        <v>6</v>
      </c>
      <c r="E39" s="91" t="str">
        <f>E7</f>
        <v>ANTONIO FLORES</v>
      </c>
      <c r="F39" s="21"/>
      <c r="G39" s="21"/>
      <c r="H39" s="21"/>
      <c r="I39" s="21" t="s">
        <v>8</v>
      </c>
      <c r="J39" s="21"/>
      <c r="K39" s="23">
        <f ca="1">K7</f>
        <v>46253</v>
      </c>
      <c r="L39" s="18"/>
      <c r="M39" s="89"/>
      <c r="N39" s="7"/>
    </row>
    <row r="40" spans="2:14" ht="16.399999999999999" thickBot="1">
      <c r="B40" s="4"/>
      <c r="C40" s="14"/>
      <c r="D40" s="92" t="s">
        <v>9</v>
      </c>
      <c r="E40" s="93" t="str">
        <f>E8</f>
        <v>ICC-</v>
      </c>
      <c r="F40" s="25"/>
      <c r="G40" s="94" t="s">
        <v>11</v>
      </c>
      <c r="H40" s="93"/>
      <c r="I40" s="25" t="s">
        <v>12</v>
      </c>
      <c r="J40" s="25"/>
      <c r="K40" s="93">
        <f>K8</f>
        <v>0</v>
      </c>
      <c r="L40" s="28"/>
      <c r="M40" s="89"/>
      <c r="N40" s="7"/>
    </row>
    <row r="41" spans="2:14" ht="9" customHeight="1" thickTop="1" thickBot="1">
      <c r="B41" s="4"/>
      <c r="C41" s="29"/>
      <c r="D41" s="25"/>
      <c r="E41" s="25"/>
      <c r="F41" s="25"/>
      <c r="G41" s="25"/>
      <c r="H41" s="25"/>
      <c r="I41" s="25"/>
      <c r="J41" s="25"/>
      <c r="K41" s="25"/>
      <c r="L41" s="25"/>
      <c r="M41" s="95"/>
      <c r="N41" s="7"/>
    </row>
    <row r="42" spans="2:14" ht="17.05" thickTop="1" thickBot="1">
      <c r="B42" s="4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41"/>
      <c r="N42" s="7"/>
    </row>
    <row r="43" spans="2:14" ht="15.05" customHeight="1" thickTop="1" thickBot="1">
      <c r="B43" s="4"/>
      <c r="C43" s="21"/>
      <c r="D43" s="21"/>
      <c r="E43" s="21"/>
      <c r="F43" s="21"/>
      <c r="G43" s="21"/>
      <c r="H43" s="21"/>
      <c r="I43" s="110" t="s">
        <v>16</v>
      </c>
      <c r="J43" s="111"/>
      <c r="K43" s="111"/>
      <c r="L43" s="112"/>
      <c r="N43" s="7"/>
    </row>
    <row r="44" spans="2:14" ht="16.399999999999999" thickTop="1" thickBot="1">
      <c r="B44" s="4"/>
      <c r="C44" s="21"/>
      <c r="D44" s="96" t="s">
        <v>19</v>
      </c>
      <c r="E44" s="34"/>
      <c r="F44" s="126">
        <f>F12</f>
        <v>1000</v>
      </c>
      <c r="G44" s="127"/>
      <c r="H44" s="35"/>
      <c r="I44" s="14" t="s">
        <v>20</v>
      </c>
      <c r="J44" s="21"/>
      <c r="K44" s="97">
        <v>0</v>
      </c>
      <c r="L44" s="98">
        <f t="shared" ref="L44:L51" si="0">L12</f>
        <v>1391.2800000000002</v>
      </c>
      <c r="N44" s="7"/>
    </row>
    <row r="45" spans="2:14" ht="17.05" thickTop="1" thickBot="1">
      <c r="B45" s="4"/>
      <c r="C45" s="21"/>
      <c r="D45" s="99" t="s">
        <v>22</v>
      </c>
      <c r="E45" s="28"/>
      <c r="F45" s="126">
        <f>F13</f>
        <v>930</v>
      </c>
      <c r="G45" s="127"/>
      <c r="H45" s="35"/>
      <c r="I45" s="14" t="s">
        <v>23</v>
      </c>
      <c r="J45" s="21"/>
      <c r="K45" s="100">
        <f>K13</f>
        <v>1.7999999999999999E-2</v>
      </c>
      <c r="L45" s="98">
        <f t="shared" si="0"/>
        <v>368.28</v>
      </c>
      <c r="M45" s="41"/>
      <c r="N45" s="7"/>
    </row>
    <row r="46" spans="2:14" ht="16.399999999999999" thickTop="1">
      <c r="B46" s="4"/>
      <c r="C46" s="21"/>
      <c r="D46" s="21"/>
      <c r="E46" s="21"/>
      <c r="F46" s="21"/>
      <c r="G46" s="47"/>
      <c r="H46" s="47"/>
      <c r="I46" s="14" t="s">
        <v>25</v>
      </c>
      <c r="J46" s="21"/>
      <c r="K46" s="100">
        <f>K14</f>
        <v>0.01</v>
      </c>
      <c r="L46" s="98">
        <f t="shared" si="0"/>
        <v>204.6</v>
      </c>
      <c r="M46" s="41"/>
      <c r="N46" s="7"/>
    </row>
    <row r="47" spans="2:14" ht="16.399999999999999" thickBot="1">
      <c r="B47" s="4"/>
      <c r="C47" s="21"/>
      <c r="D47" s="21"/>
      <c r="E47" s="21"/>
      <c r="F47" s="21"/>
      <c r="G47" s="21"/>
      <c r="H47" s="21"/>
      <c r="I47" s="14" t="s">
        <v>27</v>
      </c>
      <c r="J47" s="21"/>
      <c r="K47" s="100">
        <f>K15</f>
        <v>0.01</v>
      </c>
      <c r="L47" s="98">
        <f t="shared" si="0"/>
        <v>204.6</v>
      </c>
      <c r="M47" s="41"/>
      <c r="N47" s="7"/>
    </row>
    <row r="48" spans="2:14" ht="17.05" thickTop="1" thickBot="1">
      <c r="B48" s="4"/>
      <c r="C48" s="21"/>
      <c r="D48" s="53" t="s">
        <v>29</v>
      </c>
      <c r="E48" s="54">
        <f>E16</f>
        <v>30</v>
      </c>
      <c r="F48" s="55"/>
      <c r="I48" s="14" t="s">
        <v>30</v>
      </c>
      <c r="J48" s="21"/>
      <c r="K48" s="100">
        <f>K16</f>
        <v>4.0000000000000001E-3</v>
      </c>
      <c r="L48" s="98">
        <f t="shared" si="0"/>
        <v>81.84</v>
      </c>
      <c r="M48" s="41"/>
      <c r="N48" s="7"/>
    </row>
    <row r="49" spans="2:14" ht="17.05" thickTop="1" thickBot="1">
      <c r="B49" s="4"/>
      <c r="C49" s="21"/>
      <c r="D49" s="53" t="s">
        <v>32</v>
      </c>
      <c r="E49" s="58">
        <f>E17</f>
        <v>0</v>
      </c>
      <c r="F49" s="63"/>
      <c r="I49" s="14" t="s">
        <v>33</v>
      </c>
      <c r="J49" s="21"/>
      <c r="K49" s="100">
        <v>0</v>
      </c>
      <c r="L49" s="98">
        <f t="shared" si="0"/>
        <v>0</v>
      </c>
      <c r="M49" s="41"/>
      <c r="N49" s="7"/>
    </row>
    <row r="50" spans="2:14" ht="17.05" thickTop="1" thickBot="1">
      <c r="B50" s="4"/>
      <c r="C50" s="21"/>
      <c r="D50" s="53" t="s">
        <v>34</v>
      </c>
      <c r="E50" s="101">
        <f>E18</f>
        <v>6</v>
      </c>
      <c r="F50" s="55"/>
      <c r="G50" s="21"/>
      <c r="H50" s="21"/>
      <c r="I50" s="14" t="s">
        <v>35</v>
      </c>
      <c r="J50" s="21"/>
      <c r="K50" s="100">
        <v>0</v>
      </c>
      <c r="L50" s="98">
        <f t="shared" si="0"/>
        <v>0</v>
      </c>
      <c r="M50" s="41"/>
      <c r="N50" s="7"/>
    </row>
    <row r="51" spans="2:14" ht="17.05" thickTop="1" thickBot="1">
      <c r="B51" s="4"/>
      <c r="C51" s="21"/>
      <c r="D51" s="21"/>
      <c r="E51" s="21"/>
      <c r="F51" s="21"/>
      <c r="G51" s="21"/>
      <c r="H51" s="21"/>
      <c r="I51" s="128" t="s">
        <v>38</v>
      </c>
      <c r="J51" s="129"/>
      <c r="K51" s="130"/>
      <c r="L51" s="102">
        <f t="shared" si="0"/>
        <v>2250.6000000000004</v>
      </c>
      <c r="M51" s="41"/>
      <c r="N51" s="7"/>
    </row>
    <row r="52" spans="2:14" ht="17.05" thickTop="1" thickBot="1">
      <c r="B52" s="4"/>
      <c r="C52" s="21"/>
      <c r="D52" s="21" t="s">
        <v>47</v>
      </c>
      <c r="E52" s="21"/>
      <c r="F52" s="21"/>
      <c r="G52" s="103">
        <f>G20</f>
        <v>22</v>
      </c>
      <c r="H52" s="63"/>
      <c r="I52" s="21"/>
      <c r="J52" s="21"/>
      <c r="K52" s="21"/>
      <c r="L52" s="21"/>
      <c r="M52" s="41"/>
      <c r="N52" s="7"/>
    </row>
    <row r="53" spans="2:14" ht="17.05" thickTop="1" thickBot="1">
      <c r="B53" s="4"/>
      <c r="C53" s="21"/>
      <c r="D53" s="21" t="s">
        <v>41</v>
      </c>
      <c r="E53" s="21"/>
      <c r="F53" s="21"/>
      <c r="G53" s="104">
        <f>G21</f>
        <v>20460</v>
      </c>
      <c r="H53" s="74"/>
      <c r="I53" s="21"/>
      <c r="J53" s="41"/>
      <c r="K53" s="41"/>
      <c r="L53" s="21"/>
      <c r="M53" s="41"/>
      <c r="N53" s="7"/>
    </row>
    <row r="54" spans="2:14" ht="17.05" thickTop="1" thickBot="1">
      <c r="B54" s="4"/>
      <c r="C54" s="21"/>
      <c r="D54" s="21" t="s">
        <v>42</v>
      </c>
      <c r="E54" s="21"/>
      <c r="F54" s="21"/>
      <c r="G54" s="105">
        <f>G22</f>
        <v>355</v>
      </c>
      <c r="H54" s="74"/>
      <c r="I54" s="21"/>
      <c r="J54" s="41"/>
      <c r="K54" s="41"/>
      <c r="L54" s="21"/>
      <c r="M54" s="41"/>
      <c r="N54" s="7"/>
    </row>
    <row r="55" spans="2:14" ht="6.55" customHeight="1" thickTop="1" thickBot="1">
      <c r="B55" s="4"/>
      <c r="C55" s="21"/>
      <c r="D55" s="21"/>
      <c r="E55" s="21"/>
      <c r="F55" s="21"/>
      <c r="G55" s="106"/>
      <c r="H55" s="21"/>
      <c r="I55" s="21"/>
      <c r="J55" s="21"/>
      <c r="K55" s="21"/>
      <c r="L55" s="21"/>
      <c r="M55" s="41"/>
      <c r="N55" s="7"/>
    </row>
    <row r="56" spans="2:14" ht="17.05" thickTop="1" thickBot="1">
      <c r="B56" s="4"/>
      <c r="C56" s="21"/>
      <c r="D56" s="21" t="s">
        <v>43</v>
      </c>
      <c r="E56" s="21"/>
      <c r="F56" s="21"/>
      <c r="G56" s="104">
        <f>G24</f>
        <v>17854.400000000001</v>
      </c>
      <c r="H56" s="74"/>
      <c r="I56" s="21"/>
      <c r="J56" s="21"/>
      <c r="K56" s="21"/>
      <c r="L56" s="21"/>
      <c r="M56" s="41"/>
      <c r="N56" s="7"/>
    </row>
    <row r="57" spans="2:14" ht="16.399999999999999" thickTop="1">
      <c r="B57" s="4"/>
      <c r="C57" s="21"/>
      <c r="D57" s="21"/>
      <c r="E57" s="21"/>
      <c r="F57" s="21"/>
      <c r="G57" s="74"/>
      <c r="H57" s="74"/>
      <c r="I57" s="21"/>
      <c r="J57" s="21"/>
      <c r="K57" s="21"/>
      <c r="L57" s="21"/>
      <c r="M57" s="41"/>
      <c r="N57" s="7"/>
    </row>
    <row r="58" spans="2:14" ht="15.75">
      <c r="B58" s="4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41"/>
      <c r="N58" s="7"/>
    </row>
    <row r="59" spans="2:14" ht="15.75">
      <c r="B59" s="4"/>
      <c r="C59" s="21"/>
      <c r="D59" s="77"/>
      <c r="E59" s="77"/>
      <c r="F59" s="77"/>
      <c r="G59" s="77"/>
      <c r="H59" s="21"/>
      <c r="I59" s="77"/>
      <c r="J59" s="77"/>
      <c r="K59" s="77"/>
      <c r="L59" s="77"/>
      <c r="M59" s="41"/>
      <c r="N59" s="7"/>
    </row>
    <row r="60" spans="2:14" ht="15.75">
      <c r="B60" s="4"/>
      <c r="C60" s="21"/>
      <c r="D60" s="124" t="s">
        <v>44</v>
      </c>
      <c r="E60" s="124"/>
      <c r="F60" s="124"/>
      <c r="G60" s="124"/>
      <c r="H60" s="55"/>
      <c r="I60" s="124" t="s">
        <v>45</v>
      </c>
      <c r="J60" s="124"/>
      <c r="K60" s="124"/>
      <c r="L60" s="124"/>
      <c r="M60" s="41"/>
      <c r="N60" s="7"/>
    </row>
    <row r="61" spans="2:14" ht="15.75">
      <c r="B61" s="4"/>
      <c r="C61" s="21"/>
      <c r="D61" s="21"/>
      <c r="E61" s="21"/>
      <c r="F61" s="21"/>
      <c r="G61" s="21"/>
      <c r="H61" s="21"/>
      <c r="I61" s="21" t="s">
        <v>6</v>
      </c>
      <c r="J61" s="125" t="str">
        <f>E39</f>
        <v>ANTONIO FLORES</v>
      </c>
      <c r="K61" s="125"/>
      <c r="L61" s="21"/>
      <c r="M61" s="41"/>
      <c r="N61" s="7"/>
    </row>
    <row r="62" spans="2:14" ht="15.75">
      <c r="B62" s="4"/>
      <c r="C62" s="21"/>
      <c r="D62" s="21"/>
      <c r="E62" s="21"/>
      <c r="F62" s="21"/>
      <c r="G62" s="21"/>
      <c r="H62" s="21"/>
      <c r="I62" s="21" t="s">
        <v>11</v>
      </c>
      <c r="J62" s="125"/>
      <c r="K62" s="125"/>
      <c r="L62" s="21"/>
      <c r="M62" s="41"/>
      <c r="N62" s="7"/>
    </row>
    <row r="63" spans="2:14" ht="15.75" thickBot="1">
      <c r="B63" s="78"/>
      <c r="C63" s="107"/>
      <c r="D63" s="107"/>
      <c r="E63" s="107"/>
      <c r="F63" s="107"/>
      <c r="G63" s="107"/>
      <c r="H63" s="107"/>
      <c r="I63" s="80" t="s">
        <v>46</v>
      </c>
      <c r="J63" s="107"/>
      <c r="K63" s="107"/>
      <c r="L63" s="107"/>
      <c r="M63" s="107"/>
      <c r="N63" s="81"/>
    </row>
  </sheetData>
  <mergeCells count="21">
    <mergeCell ref="D60:G60"/>
    <mergeCell ref="I60:L60"/>
    <mergeCell ref="J61:K61"/>
    <mergeCell ref="J62:K62"/>
    <mergeCell ref="J30:K30"/>
    <mergeCell ref="C35:J35"/>
    <mergeCell ref="I43:L43"/>
    <mergeCell ref="F44:G44"/>
    <mergeCell ref="F45:G45"/>
    <mergeCell ref="I51:K51"/>
    <mergeCell ref="Y18:Z18"/>
    <mergeCell ref="I19:K19"/>
    <mergeCell ref="D28:G28"/>
    <mergeCell ref="I28:K28"/>
    <mergeCell ref="J29:K29"/>
    <mergeCell ref="U18:V18"/>
    <mergeCell ref="C3:J3"/>
    <mergeCell ref="I11:L11"/>
    <mergeCell ref="P11:S11"/>
    <mergeCell ref="F12:G12"/>
    <mergeCell ref="F13:G13"/>
  </mergeCells>
  <pageMargins left="0" right="0" top="0" bottom="0" header="0" footer="0"/>
  <pageSetup scale="84" fitToWidth="0" orientation="portrait" horizontalDpi="4294967293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Jhymalia</dc:creator>
  <cp:lastModifiedBy>GROVER Choque</cp:lastModifiedBy>
  <dcterms:created xsi:type="dcterms:W3CDTF">2026-07-27T21:23:19Z</dcterms:created>
  <dcterms:modified xsi:type="dcterms:W3CDTF">2026-08-19T05:28:04Z</dcterms:modified>
</cp:coreProperties>
</file>