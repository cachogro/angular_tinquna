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e9d4cecd286acf0/Desktop/tinkuriquna/data tinquricuna/valorizacion/NUEVOS/"/>
    </mc:Choice>
  </mc:AlternateContent>
  <xr:revisionPtr revIDLastSave="2" documentId="11_22EA94094BE6700477DB6C19B7FC98DA0783CB46" xr6:coauthVersionLast="47" xr6:coauthVersionMax="47" xr10:uidLastSave="{131EB172-2FB5-465C-B320-8D48A098C122}"/>
  <bookViews>
    <workbookView xWindow="-118" yWindow="-118" windowWidth="25370" windowHeight="13667" xr2:uid="{00000000-000D-0000-FFFF-FFFF00000000}"/>
  </bookViews>
  <sheets>
    <sheet name="ZN-AG" sheetId="5" r:id="rId1"/>
    <sheet name="PB-AG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5" l="1"/>
  <c r="G20" i="5" s="1"/>
  <c r="F20" i="8" l="1"/>
  <c r="G20" i="8" s="1"/>
  <c r="G21" i="8"/>
  <c r="G55" i="8" l="1"/>
  <c r="G41" i="8"/>
  <c r="G40" i="8"/>
  <c r="B33" i="8"/>
  <c r="B32" i="8"/>
  <c r="G32" i="8" s="1"/>
  <c r="B31" i="8"/>
  <c r="G31" i="8" s="1"/>
  <c r="B30" i="8"/>
  <c r="G30" i="8" s="1"/>
  <c r="B29" i="8"/>
  <c r="G29" i="8" s="1"/>
  <c r="B28" i="8"/>
  <c r="G28" i="8" s="1"/>
  <c r="B26" i="8"/>
  <c r="B21" i="8"/>
  <c r="B20" i="8"/>
  <c r="E12" i="8"/>
  <c r="E13" i="8" s="1"/>
  <c r="B6" i="8"/>
  <c r="M3" i="8"/>
  <c r="D25" i="8" s="1"/>
  <c r="G25" i="8" s="1"/>
  <c r="G35" i="8" l="1"/>
  <c r="G22" i="8"/>
  <c r="G36" i="8" s="1"/>
  <c r="E14" i="8"/>
  <c r="E15" i="8" l="1"/>
  <c r="G37" i="8" l="1"/>
  <c r="G47" i="8" l="1"/>
  <c r="G46" i="8"/>
  <c r="G44" i="8"/>
  <c r="G45" i="8"/>
  <c r="G43" i="8"/>
  <c r="G42" i="8"/>
  <c r="G38" i="8"/>
  <c r="G60" i="8" s="1"/>
  <c r="G21" i="5"/>
  <c r="G61" i="8" l="1"/>
  <c r="B33" i="5"/>
  <c r="B32" i="5"/>
  <c r="B31" i="5"/>
  <c r="G31" i="5" s="1"/>
  <c r="B29" i="5"/>
  <c r="G29" i="5" s="1"/>
  <c r="G32" i="5"/>
  <c r="B30" i="5"/>
  <c r="G30" i="5" s="1"/>
  <c r="B28" i="5"/>
  <c r="G28" i="5" s="1"/>
  <c r="B26" i="5"/>
  <c r="B25" i="5"/>
  <c r="D25" i="5" s="1"/>
  <c r="G25" i="5" s="1"/>
  <c r="B21" i="5"/>
  <c r="B20" i="5"/>
  <c r="G22" i="5" s="1"/>
  <c r="B6" i="5"/>
  <c r="M3" i="5"/>
  <c r="G35" i="5" l="1"/>
  <c r="G36" i="5" s="1"/>
  <c r="G41" i="5"/>
  <c r="G55" i="5"/>
  <c r="E12" i="5"/>
  <c r="E13" i="5" s="1"/>
  <c r="G40" i="5"/>
  <c r="E14" i="5" l="1"/>
  <c r="E15" i="5" l="1"/>
  <c r="G37" i="5" l="1"/>
  <c r="G47" i="5" l="1"/>
  <c r="G46" i="5"/>
  <c r="G44" i="5"/>
  <c r="G42" i="5"/>
  <c r="G38" i="5"/>
  <c r="G45" i="5"/>
  <c r="G43" i="5"/>
  <c r="G61" i="5" l="1"/>
</calcChain>
</file>

<file path=xl/sharedStrings.xml><?xml version="1.0" encoding="utf-8"?>
<sst xmlns="http://schemas.openxmlformats.org/spreadsheetml/2006/main" count="175" uniqueCount="71">
  <si>
    <t>COT. OFICIAL</t>
  </si>
  <si>
    <t>ALÍCUOTAS</t>
  </si>
  <si>
    <t>FACTOR</t>
  </si>
  <si>
    <t xml:space="preserve">PLOMO </t>
  </si>
  <si>
    <t>Pb</t>
  </si>
  <si>
    <t>Ag</t>
  </si>
  <si>
    <t>Potosí:</t>
  </si>
  <si>
    <t>Proveedor:</t>
  </si>
  <si>
    <t>Lote:</t>
  </si>
  <si>
    <t>MINERALES</t>
  </si>
  <si>
    <t>LEYES:</t>
  </si>
  <si>
    <t>PESOS</t>
  </si>
  <si>
    <t>COTIZACIÓN LME:</t>
  </si>
  <si>
    <t>PHB</t>
  </si>
  <si>
    <t>Ag DM</t>
  </si>
  <si>
    <t>H2O</t>
  </si>
  <si>
    <t>As</t>
  </si>
  <si>
    <t>PSB</t>
  </si>
  <si>
    <t>Sb</t>
  </si>
  <si>
    <t>MERMA</t>
  </si>
  <si>
    <t>Bi</t>
  </si>
  <si>
    <t>PNS</t>
  </si>
  <si>
    <t>Sn</t>
  </si>
  <si>
    <t>Zn</t>
  </si>
  <si>
    <t>SIO2</t>
  </si>
  <si>
    <t>PAGOS POR TM:</t>
  </si>
  <si>
    <t>TOTAL PAGOS:</t>
  </si>
  <si>
    <t>GASTOS DE TRATAMIENTO:</t>
  </si>
  <si>
    <t>Maquila</t>
  </si>
  <si>
    <t>ACTUAL</t>
  </si>
  <si>
    <t>BASE</t>
  </si>
  <si>
    <t>ESCALADOR</t>
  </si>
  <si>
    <t>Ajuste de maquila</t>
  </si>
  <si>
    <t>Gastos de refinación Ag</t>
  </si>
  <si>
    <t>10 dias libres</t>
  </si>
  <si>
    <t>PENALIDADES:</t>
  </si>
  <si>
    <t>LEYES</t>
  </si>
  <si>
    <t>LIBRE</t>
  </si>
  <si>
    <t>/TMS por cada</t>
  </si>
  <si>
    <t>TOTAL DEDUCCIONES:</t>
  </si>
  <si>
    <t>VALOR NETO TM:</t>
  </si>
  <si>
    <t>VALORACIÓN DEL LOTE:</t>
  </si>
  <si>
    <t xml:space="preserve">AL </t>
  </si>
  <si>
    <t>APORTES Y RETENCIONES:</t>
  </si>
  <si>
    <t>TRANSPORTE POTOSÍ - PUERTO</t>
  </si>
  <si>
    <t>GASTOS PUERTO</t>
  </si>
  <si>
    <t>CNS</t>
  </si>
  <si>
    <t>COMIBOL</t>
  </si>
  <si>
    <t>FEDECOMIN</t>
  </si>
  <si>
    <t>WISTERMAN</t>
  </si>
  <si>
    <t>FENCOMIN</t>
  </si>
  <si>
    <t>REMESA</t>
  </si>
  <si>
    <t>REGALÍA Pb</t>
  </si>
  <si>
    <t>REGALÍA Ag</t>
  </si>
  <si>
    <t>ANTICIPO</t>
  </si>
  <si>
    <t>BONO</t>
  </si>
  <si>
    <t>ROLLBACK</t>
  </si>
  <si>
    <t>TRANSPORTE POTOSI-IQUIQUE</t>
  </si>
  <si>
    <t>TRASLADO DE UN CONTENEDOR DE LAPAZ A ORUROMAS GRUA</t>
  </si>
  <si>
    <t>PAGO GRUA DE CARGUIO Y DESCARGUIO</t>
  </si>
  <si>
    <t>ANALISIS DE LABORATORIO</t>
  </si>
  <si>
    <t>LÍQUIDO PAGABLE:</t>
  </si>
  <si>
    <t>EXPRESADO EN BOLIVIANOS</t>
  </si>
  <si>
    <t>PREPARADO POR:</t>
  </si>
  <si>
    <t>APROBADO POR:</t>
  </si>
  <si>
    <t>INTERESADO:</t>
  </si>
  <si>
    <t>LIQUIDACION PROVISONAL</t>
  </si>
  <si>
    <t>Fe</t>
  </si>
  <si>
    <t>SORACAYA</t>
  </si>
  <si>
    <t>BCL</t>
  </si>
  <si>
    <t>BZL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</si>
</sst>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000"/>
    <numFmt numFmtId="165" formatCode="[$-F800]dddd\,\ mmmm\ dd\,\ yyyy"/>
    <numFmt numFmtId="166" formatCode="yyyy/mm/dd"/>
    <numFmt numFmtId="167" formatCode="_(* #,##0.00_);_(* \(#,##0.00\);_(* &quot;-&quot;??_);_(@_)"/>
    <numFmt numFmtId="168" formatCode="#,##0.000"/>
    <numFmt numFmtId="169" formatCode="#,##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2" tint="-0.749992370372631"/>
      <name val="Arial"/>
      <family val="2"/>
    </font>
    <font>
      <sz val="11"/>
      <color theme="2" tint="-0.749992370372631"/>
      <name val="Bauhaus 93"/>
      <family val="5"/>
    </font>
    <font>
      <sz val="11"/>
      <color rgb="FF000000"/>
      <name val="Arial Narrow"/>
      <family val="2"/>
    </font>
    <font>
      <sz val="11"/>
      <color rgb="FF000000"/>
      <name val="Arial"/>
      <family val="2"/>
    </font>
    <font>
      <b/>
      <sz val="10"/>
      <color rgb="FF000000"/>
      <name val="Arial Narrow"/>
      <family val="2"/>
    </font>
    <font>
      <sz val="11"/>
      <color rgb="FF00B0F0"/>
      <name val="Arial Narrow"/>
      <family val="2"/>
    </font>
    <font>
      <b/>
      <sz val="18"/>
      <color theme="2" tint="-0.749992370372631"/>
      <name val="Algerian"/>
      <family val="5"/>
    </font>
    <font>
      <sz val="10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b/>
      <sz val="11"/>
      <color rgb="FF000000"/>
      <name val="Arial Narrow"/>
      <family val="2"/>
    </font>
    <font>
      <sz val="11"/>
      <color theme="2" tint="-0.749992370372631"/>
      <name val="Arial Narrow"/>
      <family val="2"/>
    </font>
    <font>
      <sz val="11"/>
      <color rgb="FFFF0000"/>
      <name val="Arial Narrow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1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/>
    <xf numFmtId="164" fontId="5" fillId="0" borderId="0" xfId="2" applyNumberFormat="1" applyFont="1"/>
    <xf numFmtId="0" fontId="10" fillId="0" borderId="0" xfId="2" applyFont="1"/>
    <xf numFmtId="165" fontId="10" fillId="0" borderId="0" xfId="2" applyNumberFormat="1" applyFont="1"/>
    <xf numFmtId="166" fontId="10" fillId="0" borderId="0" xfId="2" applyNumberFormat="1" applyFont="1"/>
    <xf numFmtId="0" fontId="11" fillId="0" borderId="0" xfId="2" applyFont="1"/>
    <xf numFmtId="0" fontId="11" fillId="0" borderId="1" xfId="2" applyFont="1" applyBorder="1" applyAlignment="1">
      <alignment horizontal="center"/>
    </xf>
    <xf numFmtId="0" fontId="11" fillId="0" borderId="3" xfId="2" applyFont="1" applyBorder="1"/>
    <xf numFmtId="0" fontId="10" fillId="0" borderId="4" xfId="2" applyFont="1" applyBorder="1"/>
    <xf numFmtId="0" fontId="10" fillId="0" borderId="5" xfId="2" applyFont="1" applyBorder="1" applyAlignment="1">
      <alignment horizontal="center"/>
    </xf>
    <xf numFmtId="4" fontId="10" fillId="0" borderId="6" xfId="2" applyNumberFormat="1" applyFont="1" applyBorder="1"/>
    <xf numFmtId="0" fontId="10" fillId="0" borderId="7" xfId="2" applyFont="1" applyBorder="1"/>
    <xf numFmtId="0" fontId="10" fillId="0" borderId="8" xfId="2" applyFont="1" applyBorder="1"/>
    <xf numFmtId="1" fontId="10" fillId="0" borderId="7" xfId="2" applyNumberFormat="1" applyFont="1" applyBorder="1"/>
    <xf numFmtId="0" fontId="10" fillId="0" borderId="9" xfId="2" applyFont="1" applyBorder="1"/>
    <xf numFmtId="4" fontId="11" fillId="0" borderId="5" xfId="2" applyNumberFormat="1" applyFont="1" applyBorder="1"/>
    <xf numFmtId="0" fontId="10" fillId="0" borderId="6" xfId="2" applyFont="1" applyBorder="1" applyAlignment="1">
      <alignment horizontal="center"/>
    </xf>
    <xf numFmtId="0" fontId="10" fillId="0" borderId="10" xfId="2" applyFont="1" applyBorder="1"/>
    <xf numFmtId="3" fontId="10" fillId="0" borderId="10" xfId="2" applyNumberFormat="1" applyFont="1" applyBorder="1"/>
    <xf numFmtId="0" fontId="10" fillId="0" borderId="11" xfId="2" applyFont="1" applyBorder="1"/>
    <xf numFmtId="167" fontId="10" fillId="0" borderId="6" xfId="2" applyNumberFormat="1" applyFont="1" applyBorder="1"/>
    <xf numFmtId="0" fontId="10" fillId="0" borderId="12" xfId="2" applyFont="1" applyBorder="1"/>
    <xf numFmtId="0" fontId="10" fillId="0" borderId="13" xfId="2" applyFont="1" applyBorder="1"/>
    <xf numFmtId="14" fontId="10" fillId="0" borderId="14" xfId="2" applyNumberFormat="1" applyFont="1" applyBorder="1"/>
    <xf numFmtId="10" fontId="10" fillId="0" borderId="10" xfId="2" applyNumberFormat="1" applyFont="1" applyBorder="1"/>
    <xf numFmtId="0" fontId="10" fillId="0" borderId="15" xfId="2" applyFont="1" applyBorder="1"/>
    <xf numFmtId="0" fontId="10" fillId="0" borderId="16" xfId="2" applyFont="1" applyBorder="1"/>
    <xf numFmtId="0" fontId="10" fillId="0" borderId="17" xfId="2" applyFont="1" applyBorder="1"/>
    <xf numFmtId="3" fontId="10" fillId="0" borderId="17" xfId="2" applyNumberFormat="1" applyFont="1" applyBorder="1"/>
    <xf numFmtId="9" fontId="0" fillId="0" borderId="0" xfId="0" applyNumberFormat="1"/>
    <xf numFmtId="0" fontId="10" fillId="0" borderId="11" xfId="2" applyFont="1" applyBorder="1" applyAlignment="1">
      <alignment horizontal="center"/>
    </xf>
    <xf numFmtId="0" fontId="10" fillId="0" borderId="18" xfId="2" applyFont="1" applyBorder="1"/>
    <xf numFmtId="3" fontId="10" fillId="0" borderId="8" xfId="2" applyNumberFormat="1" applyFont="1" applyBorder="1"/>
    <xf numFmtId="0" fontId="10" fillId="0" borderId="19" xfId="2" applyFont="1" applyBorder="1"/>
    <xf numFmtId="2" fontId="0" fillId="0" borderId="0" xfId="0" applyNumberFormat="1"/>
    <xf numFmtId="3" fontId="10" fillId="0" borderId="0" xfId="2" applyNumberFormat="1" applyFont="1"/>
    <xf numFmtId="0" fontId="10" fillId="0" borderId="20" xfId="2" applyFont="1" applyBorder="1" applyAlignment="1">
      <alignment horizontal="center"/>
    </xf>
    <xf numFmtId="167" fontId="10" fillId="0" borderId="21" xfId="2" applyNumberFormat="1" applyFont="1" applyBorder="1"/>
    <xf numFmtId="0" fontId="11" fillId="0" borderId="15" xfId="2" applyFont="1" applyBorder="1"/>
    <xf numFmtId="167" fontId="10" fillId="0" borderId="0" xfId="2" applyNumberFormat="1" applyFont="1"/>
    <xf numFmtId="4" fontId="10" fillId="0" borderId="0" xfId="2" applyNumberFormat="1" applyFont="1"/>
    <xf numFmtId="9" fontId="10" fillId="0" borderId="0" xfId="2" applyNumberFormat="1" applyFont="1"/>
    <xf numFmtId="4" fontId="10" fillId="0" borderId="16" xfId="2" applyNumberFormat="1" applyFont="1" applyBorder="1"/>
    <xf numFmtId="168" fontId="10" fillId="0" borderId="0" xfId="2" applyNumberFormat="1" applyFont="1"/>
    <xf numFmtId="4" fontId="10" fillId="0" borderId="22" xfId="2" applyNumberFormat="1" applyFont="1" applyBorder="1"/>
    <xf numFmtId="4" fontId="11" fillId="0" borderId="16" xfId="2" applyNumberFormat="1" applyFont="1" applyBorder="1"/>
    <xf numFmtId="0" fontId="10" fillId="0" borderId="0" xfId="2" applyFont="1" applyAlignment="1">
      <alignment horizontal="center"/>
    </xf>
    <xf numFmtId="4" fontId="10" fillId="0" borderId="0" xfId="2" applyNumberFormat="1" applyFont="1" applyAlignment="1">
      <alignment horizontal="center"/>
    </xf>
    <xf numFmtId="4" fontId="10" fillId="2" borderId="0" xfId="2" applyNumberFormat="1" applyFont="1" applyFill="1" applyAlignment="1">
      <alignment horizontal="center"/>
    </xf>
    <xf numFmtId="4" fontId="13" fillId="0" borderId="0" xfId="2" applyNumberFormat="1" applyFont="1"/>
    <xf numFmtId="2" fontId="10" fillId="0" borderId="0" xfId="2" applyNumberFormat="1" applyFont="1" applyAlignment="1">
      <alignment horizontal="center"/>
    </xf>
    <xf numFmtId="2" fontId="10" fillId="0" borderId="0" xfId="2" applyNumberFormat="1" applyFont="1"/>
    <xf numFmtId="10" fontId="10" fillId="0" borderId="0" xfId="2" applyNumberFormat="1" applyFont="1"/>
    <xf numFmtId="2" fontId="10" fillId="0" borderId="16" xfId="2" applyNumberFormat="1" applyFont="1" applyBorder="1"/>
    <xf numFmtId="0" fontId="10" fillId="0" borderId="3" xfId="2" applyFont="1" applyBorder="1"/>
    <xf numFmtId="0" fontId="10" fillId="0" borderId="2" xfId="2" applyFont="1" applyBorder="1"/>
    <xf numFmtId="4" fontId="11" fillId="0" borderId="4" xfId="2" applyNumberFormat="1" applyFont="1" applyBorder="1"/>
    <xf numFmtId="9" fontId="11" fillId="0" borderId="0" xfId="2" applyNumberFormat="1" applyFont="1"/>
    <xf numFmtId="10" fontId="10" fillId="0" borderId="0" xfId="2" applyNumberFormat="1" applyFont="1" applyAlignment="1">
      <alignment horizontal="center"/>
    </xf>
    <xf numFmtId="4" fontId="11" fillId="0" borderId="19" xfId="2" applyNumberFormat="1" applyFont="1" applyBorder="1"/>
    <xf numFmtId="0" fontId="10" fillId="0" borderId="23" xfId="2" applyFont="1" applyBorder="1"/>
    <xf numFmtId="0" fontId="10" fillId="0" borderId="24" xfId="2" applyFont="1" applyBorder="1"/>
    <xf numFmtId="0" fontId="10" fillId="0" borderId="25" xfId="2" applyFont="1" applyBorder="1" applyAlignment="1">
      <alignment horizontal="left"/>
    </xf>
    <xf numFmtId="0" fontId="10" fillId="0" borderId="25" xfId="2" applyFont="1" applyBorder="1"/>
    <xf numFmtId="4" fontId="16" fillId="0" borderId="0" xfId="2" applyNumberFormat="1" applyFont="1"/>
    <xf numFmtId="4" fontId="11" fillId="0" borderId="6" xfId="2" applyNumberFormat="1" applyFont="1" applyBorder="1"/>
    <xf numFmtId="0" fontId="10" fillId="0" borderId="25" xfId="2" applyFont="1" applyBorder="1" applyAlignment="1">
      <alignment horizontal="center"/>
    </xf>
    <xf numFmtId="0" fontId="11" fillId="0" borderId="0" xfId="2" applyFont="1" applyAlignment="1">
      <alignment horizontal="right"/>
    </xf>
    <xf numFmtId="0" fontId="10" fillId="0" borderId="15" xfId="2" applyFont="1" applyBorder="1" applyAlignment="1">
      <alignment horizontal="left"/>
    </xf>
    <xf numFmtId="0" fontId="19" fillId="0" borderId="15" xfId="2" applyFont="1" applyBorder="1" applyAlignment="1">
      <alignment horizontal="left"/>
    </xf>
    <xf numFmtId="0" fontId="19" fillId="0" borderId="6" xfId="2" applyFont="1" applyBorder="1" applyAlignment="1">
      <alignment horizontal="center"/>
    </xf>
    <xf numFmtId="43" fontId="11" fillId="0" borderId="0" xfId="1" applyFont="1" applyAlignment="1">
      <alignment horizontal="right"/>
    </xf>
    <xf numFmtId="169" fontId="17" fillId="0" borderId="0" xfId="0" applyNumberFormat="1" applyFont="1"/>
    <xf numFmtId="0" fontId="16" fillId="0" borderId="0" xfId="2" applyFont="1"/>
    <xf numFmtId="4" fontId="12" fillId="0" borderId="0" xfId="2" applyNumberFormat="1" applyFont="1"/>
    <xf numFmtId="4" fontId="6" fillId="0" borderId="0" xfId="2" applyNumberFormat="1" applyFont="1"/>
    <xf numFmtId="4" fontId="5" fillId="0" borderId="0" xfId="2" applyNumberFormat="1" applyFont="1"/>
    <xf numFmtId="2" fontId="5" fillId="0" borderId="0" xfId="2" applyNumberFormat="1" applyFont="1"/>
    <xf numFmtId="168" fontId="5" fillId="0" borderId="0" xfId="2" applyNumberFormat="1" applyFont="1"/>
    <xf numFmtId="2" fontId="14" fillId="0" borderId="0" xfId="2" applyNumberFormat="1" applyFont="1"/>
    <xf numFmtId="43" fontId="5" fillId="0" borderId="0" xfId="1" applyFont="1" applyFill="1" applyBorder="1"/>
    <xf numFmtId="43" fontId="18" fillId="0" borderId="0" xfId="1" applyFont="1" applyFill="1" applyBorder="1"/>
    <xf numFmtId="43" fontId="0" fillId="0" borderId="0" xfId="1" applyFont="1" applyFill="1" applyBorder="1"/>
    <xf numFmtId="0" fontId="15" fillId="0" borderId="0" xfId="2" applyFont="1"/>
    <xf numFmtId="4" fontId="15" fillId="0" borderId="0" xfId="2" applyNumberFormat="1" applyFont="1"/>
    <xf numFmtId="43" fontId="0" fillId="0" borderId="0" xfId="0" applyNumberFormat="1"/>
    <xf numFmtId="0" fontId="10" fillId="0" borderId="26" xfId="2" applyFont="1" applyBorder="1"/>
    <xf numFmtId="0" fontId="11" fillId="0" borderId="2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0" fontId="10" fillId="0" borderId="25" xfId="2" applyFont="1" applyBorder="1" applyAlignment="1">
      <alignment horizontal="center"/>
    </xf>
    <xf numFmtId="0" fontId="9" fillId="0" borderId="0" xfId="2" applyFont="1" applyAlignment="1">
      <alignment horizontal="center"/>
    </xf>
    <xf numFmtId="165" fontId="10" fillId="0" borderId="0" xfId="2" applyNumberFormat="1" applyFont="1" applyAlignment="1">
      <alignment horizontal="left"/>
    </xf>
    <xf numFmtId="0" fontId="11" fillId="0" borderId="2" xfId="2" applyFont="1" applyBorder="1" applyAlignment="1">
      <alignment horizontal="center"/>
    </xf>
    <xf numFmtId="0" fontId="11" fillId="0" borderId="0" xfId="2" applyFont="1" applyAlignment="1">
      <alignment horizontal="right"/>
    </xf>
    <xf numFmtId="0" fontId="11" fillId="0" borderId="0" xfId="2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R64"/>
  <sheetViews>
    <sheetView tabSelected="1" workbookViewId="0">
      <selection activeCell="D17" sqref="D17"/>
    </sheetView>
  </sheetViews>
  <sheetFormatPr baseColWidth="10" defaultRowHeight="15.05" x14ac:dyDescent="0.3"/>
  <cols>
    <col min="1" max="1" width="26.44140625" customWidth="1"/>
    <col min="2" max="2" width="10.5546875" customWidth="1"/>
    <col min="3" max="3" width="7.88671875" customWidth="1"/>
    <col min="4" max="4" width="8.6640625" customWidth="1"/>
    <col min="5" max="5" width="13.44140625" customWidth="1"/>
    <col min="6" max="6" width="10.33203125" customWidth="1"/>
    <col min="7" max="7" width="12.88671875" customWidth="1"/>
    <col min="8" max="8" width="4.33203125" customWidth="1"/>
    <col min="9" max="9" width="12.44140625" customWidth="1"/>
    <col min="10" max="10" width="8.5546875" customWidth="1"/>
    <col min="11" max="11" width="11.6640625" customWidth="1"/>
    <col min="12" max="13" width="9.44140625" customWidth="1"/>
    <col min="15" max="15" width="14.109375" customWidth="1"/>
    <col min="18" max="18" width="10.33203125" customWidth="1"/>
  </cols>
  <sheetData>
    <row r="1" spans="1:18" ht="17.05" x14ac:dyDescent="0.35">
      <c r="A1" s="1"/>
      <c r="B1" s="2"/>
      <c r="C1" s="1"/>
      <c r="D1" s="1"/>
      <c r="E1" s="1"/>
      <c r="F1" s="1"/>
      <c r="G1" s="1"/>
      <c r="H1" s="3"/>
      <c r="I1" s="3"/>
      <c r="J1" s="3"/>
      <c r="K1" s="3"/>
      <c r="L1" s="4"/>
      <c r="M1" s="4"/>
    </row>
    <row r="2" spans="1:18" x14ac:dyDescent="0.3">
      <c r="A2" s="1"/>
      <c r="B2" s="1"/>
      <c r="C2" s="1"/>
      <c r="D2" s="1"/>
      <c r="E2" s="1"/>
      <c r="F2" s="1"/>
      <c r="G2" s="1"/>
      <c r="H2" s="3"/>
      <c r="I2" s="5" t="s">
        <v>0</v>
      </c>
      <c r="J2" s="5" t="s">
        <v>1</v>
      </c>
      <c r="K2" s="5" t="s">
        <v>2</v>
      </c>
      <c r="L2" s="4" t="s">
        <v>3</v>
      </c>
      <c r="M2" s="4"/>
    </row>
    <row r="3" spans="1:18" x14ac:dyDescent="0.3">
      <c r="A3" s="1"/>
      <c r="B3" s="1"/>
      <c r="C3" s="1"/>
      <c r="D3" s="1"/>
      <c r="E3" s="1"/>
      <c r="F3" s="1"/>
      <c r="G3" s="1"/>
      <c r="H3" s="3" t="s">
        <v>4</v>
      </c>
      <c r="I3" s="78">
        <v>1.3948</v>
      </c>
      <c r="J3" s="6">
        <v>5</v>
      </c>
      <c r="K3" s="7">
        <v>2.2046223</v>
      </c>
      <c r="L3" s="4">
        <v>1.3948</v>
      </c>
      <c r="M3" s="4">
        <f>L3*K3*1000</f>
        <v>3075.0071840400001</v>
      </c>
    </row>
    <row r="4" spans="1:18" x14ac:dyDescent="0.3">
      <c r="A4" s="1"/>
      <c r="B4" s="1"/>
      <c r="C4" s="1"/>
      <c r="D4" s="1"/>
      <c r="E4" s="1"/>
      <c r="F4" s="1"/>
      <c r="G4" s="1"/>
      <c r="H4" s="3" t="s">
        <v>5</v>
      </c>
      <c r="I4" s="6">
        <v>27.53</v>
      </c>
      <c r="J4" s="6">
        <v>6</v>
      </c>
      <c r="K4" s="7">
        <v>31.1035</v>
      </c>
      <c r="L4" s="4"/>
      <c r="M4" s="4"/>
    </row>
    <row r="5" spans="1:18" ht="25.55" x14ac:dyDescent="0.45">
      <c r="A5" s="96" t="s">
        <v>66</v>
      </c>
      <c r="B5" s="96"/>
      <c r="C5" s="96"/>
      <c r="D5" s="96"/>
      <c r="E5" s="96"/>
      <c r="F5" s="96"/>
      <c r="G5" s="96"/>
      <c r="H5" s="3"/>
      <c r="I5" s="3"/>
      <c r="J5" s="3"/>
      <c r="K5" s="3"/>
      <c r="L5" s="4"/>
      <c r="M5" s="4"/>
    </row>
    <row r="6" spans="1:18" x14ac:dyDescent="0.3">
      <c r="A6" s="8" t="s">
        <v>6</v>
      </c>
      <c r="B6" s="97">
        <f ca="1">+TODAY()</f>
        <v>46253</v>
      </c>
      <c r="C6" s="97"/>
      <c r="D6" s="97"/>
      <c r="E6" s="97"/>
      <c r="F6" s="97"/>
      <c r="G6" s="9"/>
      <c r="H6" s="3"/>
      <c r="I6" s="3"/>
      <c r="J6" s="3"/>
      <c r="K6" s="3"/>
      <c r="L6" s="4"/>
      <c r="M6" s="4"/>
    </row>
    <row r="7" spans="1:18" x14ac:dyDescent="0.3">
      <c r="A7" s="8" t="s">
        <v>7</v>
      </c>
      <c r="B7" s="10" t="s">
        <v>68</v>
      </c>
      <c r="C7" s="8"/>
      <c r="D7" s="8"/>
      <c r="E7" s="8"/>
      <c r="F7" s="8"/>
      <c r="G7" s="8"/>
      <c r="H7" s="3"/>
      <c r="I7" s="3"/>
      <c r="J7" s="3"/>
      <c r="K7" s="3"/>
      <c r="L7" s="4"/>
      <c r="M7" s="4"/>
    </row>
    <row r="8" spans="1:18" x14ac:dyDescent="0.3">
      <c r="A8" s="8" t="s">
        <v>8</v>
      </c>
      <c r="B8" s="11" t="s">
        <v>70</v>
      </c>
      <c r="C8" s="8"/>
      <c r="D8" s="8"/>
      <c r="E8" s="8"/>
      <c r="F8" s="8"/>
      <c r="G8" s="8"/>
      <c r="H8" s="3"/>
      <c r="I8" s="3"/>
      <c r="J8" s="3"/>
      <c r="K8" s="3"/>
      <c r="L8" s="4"/>
      <c r="M8" s="4"/>
    </row>
    <row r="9" spans="1:18" x14ac:dyDescent="0.3">
      <c r="A9" s="8"/>
      <c r="B9" s="8"/>
      <c r="C9" s="8"/>
      <c r="D9" s="8"/>
      <c r="E9" s="8"/>
      <c r="F9" s="8"/>
      <c r="G9" s="8"/>
      <c r="H9" s="3"/>
      <c r="I9" s="3"/>
      <c r="J9" s="3"/>
      <c r="K9" s="3"/>
      <c r="L9" s="4"/>
      <c r="M9" s="4"/>
    </row>
    <row r="10" spans="1:18" x14ac:dyDescent="0.3">
      <c r="A10" s="12" t="s">
        <v>9</v>
      </c>
      <c r="B10" s="12" t="s">
        <v>10</v>
      </c>
      <c r="C10" s="98" t="s">
        <v>11</v>
      </c>
      <c r="D10" s="98"/>
      <c r="E10" s="98"/>
      <c r="F10" s="13" t="s">
        <v>12</v>
      </c>
      <c r="G10" s="14"/>
      <c r="H10" s="3"/>
      <c r="I10" s="3"/>
      <c r="J10" s="3"/>
      <c r="K10" s="3"/>
      <c r="L10" s="4"/>
      <c r="M10" s="4"/>
    </row>
    <row r="11" spans="1:18" x14ac:dyDescent="0.3">
      <c r="A11" s="15" t="s">
        <v>23</v>
      </c>
      <c r="B11" s="16">
        <v>48</v>
      </c>
      <c r="C11" s="17" t="s">
        <v>13</v>
      </c>
      <c r="D11" s="18"/>
      <c r="E11" s="19">
        <v>500000</v>
      </c>
      <c r="F11" s="20" t="s">
        <v>23</v>
      </c>
      <c r="G11" s="21">
        <v>3600</v>
      </c>
      <c r="H11" s="3"/>
      <c r="I11" s="46"/>
      <c r="J11" s="3"/>
      <c r="K11" s="3"/>
      <c r="L11" s="4"/>
      <c r="M11" s="4"/>
    </row>
    <row r="12" spans="1:18" x14ac:dyDescent="0.3">
      <c r="A12" s="22" t="s">
        <v>14</v>
      </c>
      <c r="B12" s="16">
        <v>3</v>
      </c>
      <c r="C12" s="23" t="s">
        <v>15</v>
      </c>
      <c r="D12" s="30">
        <v>0.09</v>
      </c>
      <c r="E12" s="24">
        <f>+E11*D12</f>
        <v>45000</v>
      </c>
      <c r="F12" s="25" t="s">
        <v>5</v>
      </c>
      <c r="G12" s="71">
        <v>57</v>
      </c>
      <c r="H12" s="3"/>
      <c r="I12" s="46"/>
      <c r="J12" s="3"/>
      <c r="K12" s="80"/>
      <c r="L12" s="81"/>
      <c r="M12" s="81"/>
    </row>
    <row r="13" spans="1:18" x14ac:dyDescent="0.3">
      <c r="A13" s="22" t="s">
        <v>16</v>
      </c>
      <c r="B13" s="26">
        <v>0</v>
      </c>
      <c r="C13" s="23" t="s">
        <v>17</v>
      </c>
      <c r="D13" s="27">
        <v>0</v>
      </c>
      <c r="E13" s="24">
        <f>+E11-E12</f>
        <v>455000</v>
      </c>
      <c r="F13" s="28"/>
      <c r="G13" s="29"/>
      <c r="H13" s="3"/>
      <c r="I13" s="3"/>
      <c r="J13" s="3"/>
      <c r="K13" s="80"/>
      <c r="L13" s="4"/>
      <c r="M13" s="4"/>
    </row>
    <row r="14" spans="1:18" x14ac:dyDescent="0.3">
      <c r="A14" s="22" t="s">
        <v>18</v>
      </c>
      <c r="B14" s="26">
        <v>0</v>
      </c>
      <c r="C14" s="23" t="s">
        <v>19</v>
      </c>
      <c r="D14" s="30">
        <v>0.01</v>
      </c>
      <c r="E14" s="24">
        <f>+E13*D14</f>
        <v>4550</v>
      </c>
      <c r="F14" s="31"/>
      <c r="G14" s="32"/>
      <c r="H14" s="3"/>
      <c r="I14" s="3"/>
      <c r="J14" s="3"/>
      <c r="K14" s="82"/>
      <c r="L14" s="4"/>
      <c r="M14" s="4"/>
    </row>
    <row r="15" spans="1:18" x14ac:dyDescent="0.3">
      <c r="A15" s="76" t="s">
        <v>20</v>
      </c>
      <c r="B15" s="26">
        <v>0</v>
      </c>
      <c r="C15" s="33" t="s">
        <v>21</v>
      </c>
      <c r="D15" s="33"/>
      <c r="E15" s="34">
        <f>+E13-E14</f>
        <v>450450</v>
      </c>
      <c r="F15" s="31"/>
      <c r="G15" s="32"/>
      <c r="H15" s="3"/>
      <c r="I15" s="3"/>
      <c r="J15" s="3"/>
      <c r="K15" s="3"/>
      <c r="L15" s="4"/>
      <c r="M15" s="4"/>
      <c r="R15" s="35"/>
    </row>
    <row r="16" spans="1:18" x14ac:dyDescent="0.3">
      <c r="A16" s="36" t="s">
        <v>22</v>
      </c>
      <c r="B16" s="26">
        <v>0</v>
      </c>
      <c r="C16" s="37"/>
      <c r="D16" s="18"/>
      <c r="E16" s="38"/>
      <c r="F16" s="18"/>
      <c r="G16" s="39"/>
      <c r="H16" s="3"/>
      <c r="I16" s="3"/>
      <c r="J16" s="3"/>
      <c r="K16" s="3"/>
      <c r="L16" s="4"/>
      <c r="M16" s="4"/>
      <c r="R16" s="40"/>
    </row>
    <row r="17" spans="1:17" x14ac:dyDescent="0.3">
      <c r="A17" s="36" t="s">
        <v>67</v>
      </c>
      <c r="B17" s="26">
        <v>0</v>
      </c>
      <c r="C17" s="8"/>
      <c r="D17" s="8"/>
      <c r="E17" s="41"/>
      <c r="F17" s="8"/>
      <c r="G17" s="32"/>
      <c r="H17" s="3"/>
      <c r="I17" s="3"/>
      <c r="J17" s="3"/>
      <c r="K17" s="3"/>
      <c r="L17" s="4"/>
      <c r="M17" s="4"/>
    </row>
    <row r="18" spans="1:17" x14ac:dyDescent="0.3">
      <c r="A18" s="42" t="s">
        <v>24</v>
      </c>
      <c r="B18" s="43">
        <v>0</v>
      </c>
      <c r="C18" s="8"/>
      <c r="D18" s="8"/>
      <c r="E18" s="41"/>
      <c r="F18" s="8"/>
      <c r="G18" s="32"/>
      <c r="H18" s="3"/>
      <c r="I18" s="3"/>
      <c r="J18" s="3"/>
      <c r="K18" s="3"/>
      <c r="L18" s="4"/>
      <c r="M18" s="4"/>
    </row>
    <row r="19" spans="1:17" x14ac:dyDescent="0.3">
      <c r="A19" s="44" t="s">
        <v>25</v>
      </c>
      <c r="B19" s="8"/>
      <c r="C19" s="8"/>
      <c r="D19" s="8"/>
      <c r="E19" s="8"/>
      <c r="F19" s="8"/>
      <c r="G19" s="32"/>
      <c r="H19" s="3"/>
      <c r="I19" s="3"/>
      <c r="J19" s="3"/>
      <c r="K19" s="3"/>
      <c r="L19" s="3"/>
      <c r="M19" s="3"/>
    </row>
    <row r="20" spans="1:17" x14ac:dyDescent="0.3">
      <c r="A20" s="31" t="s">
        <v>23</v>
      </c>
      <c r="B20" s="45">
        <f>B11</f>
        <v>48</v>
      </c>
      <c r="C20" s="8"/>
      <c r="D20" s="46">
        <v>-8</v>
      </c>
      <c r="E20" s="47">
        <v>0.85</v>
      </c>
      <c r="F20" s="79">
        <f>(MIN(B11+D20,B11*E20))/100</f>
        <v>0.4</v>
      </c>
      <c r="G20" s="48">
        <f>+F20*G11</f>
        <v>1440</v>
      </c>
      <c r="H20" s="3"/>
      <c r="I20" s="83"/>
      <c r="J20" s="3"/>
      <c r="K20" s="3"/>
      <c r="L20" s="3"/>
      <c r="M20" s="3"/>
      <c r="P20" s="35"/>
    </row>
    <row r="21" spans="1:17" x14ac:dyDescent="0.3">
      <c r="A21" s="31" t="s">
        <v>5</v>
      </c>
      <c r="B21" s="49">
        <f>ROUND(B12/K4*100,3)</f>
        <v>9.6449999999999996</v>
      </c>
      <c r="C21" s="70">
        <v>-1E-4</v>
      </c>
      <c r="D21" s="46">
        <v>-3</v>
      </c>
      <c r="E21" s="47">
        <v>0.7</v>
      </c>
      <c r="F21" s="8"/>
      <c r="G21" s="50">
        <f>((B12/K4*100)+D21)*E21*G12</f>
        <v>265.14414937225712</v>
      </c>
      <c r="H21" s="3"/>
      <c r="I21" s="83"/>
      <c r="J21" s="84"/>
      <c r="K21" s="3"/>
      <c r="L21" s="3"/>
      <c r="M21" s="3"/>
    </row>
    <row r="22" spans="1:17" x14ac:dyDescent="0.3">
      <c r="A22" s="31"/>
      <c r="B22" s="8"/>
      <c r="C22" s="8"/>
      <c r="D22" s="8"/>
      <c r="E22" s="99" t="s">
        <v>26</v>
      </c>
      <c r="F22" s="99"/>
      <c r="G22" s="51">
        <f>SUM(G20:G21)</f>
        <v>1705.1441493722571</v>
      </c>
      <c r="H22" s="82"/>
      <c r="I22" s="3"/>
      <c r="J22" s="3"/>
      <c r="K22" s="3"/>
      <c r="L22" s="3"/>
      <c r="M22" s="3"/>
    </row>
    <row r="23" spans="1:17" x14ac:dyDescent="0.3">
      <c r="A23" s="44" t="s">
        <v>27</v>
      </c>
      <c r="B23" s="8"/>
      <c r="C23" s="8"/>
      <c r="D23" s="8"/>
      <c r="E23" s="8"/>
      <c r="F23" s="8"/>
      <c r="G23" s="32"/>
      <c r="H23" s="3"/>
      <c r="I23" s="3"/>
      <c r="J23" s="3"/>
      <c r="K23" s="3"/>
      <c r="L23" s="3"/>
      <c r="M23" s="3"/>
    </row>
    <row r="24" spans="1:17" x14ac:dyDescent="0.3">
      <c r="A24" s="31" t="s">
        <v>28</v>
      </c>
      <c r="B24" s="52" t="s">
        <v>29</v>
      </c>
      <c r="C24" s="52" t="s">
        <v>30</v>
      </c>
      <c r="D24" s="52"/>
      <c r="E24" s="52" t="s">
        <v>31</v>
      </c>
      <c r="F24" s="52"/>
      <c r="G24" s="48">
        <v>110</v>
      </c>
      <c r="H24" s="3"/>
      <c r="I24" s="83"/>
      <c r="J24" s="3"/>
      <c r="K24" s="3"/>
      <c r="L24" s="3"/>
      <c r="M24" s="3"/>
    </row>
    <row r="25" spans="1:17" x14ac:dyDescent="0.3">
      <c r="A25" s="31" t="s">
        <v>32</v>
      </c>
      <c r="B25" s="53">
        <f>G11</f>
        <v>3600</v>
      </c>
      <c r="C25" s="54">
        <v>3025</v>
      </c>
      <c r="D25" s="55">
        <f>B25-C25</f>
        <v>575</v>
      </c>
      <c r="E25" s="52">
        <v>0.15</v>
      </c>
      <c r="F25" s="52"/>
      <c r="G25" s="48">
        <f>E25*D25</f>
        <v>86.25</v>
      </c>
      <c r="H25" s="3"/>
      <c r="I25" s="3"/>
      <c r="J25" s="3"/>
      <c r="K25" s="3"/>
      <c r="L25" s="3"/>
      <c r="M25" s="3"/>
    </row>
    <row r="26" spans="1:17" hidden="1" x14ac:dyDescent="0.3">
      <c r="A26" s="31" t="s">
        <v>33</v>
      </c>
      <c r="B26" s="46">
        <f>+B12/K4*100+D21</f>
        <v>6.6452167762470467</v>
      </c>
      <c r="C26" s="8"/>
      <c r="D26" s="46">
        <v>0</v>
      </c>
      <c r="E26" s="8"/>
      <c r="F26" s="8"/>
      <c r="G26" s="48">
        <v>0</v>
      </c>
      <c r="H26" s="3"/>
      <c r="I26" s="82"/>
      <c r="J26" s="3"/>
      <c r="K26" s="3"/>
      <c r="L26" s="3"/>
      <c r="M26" s="3"/>
      <c r="Q26" t="s">
        <v>34</v>
      </c>
    </row>
    <row r="27" spans="1:17" x14ac:dyDescent="0.3">
      <c r="A27" s="44" t="s">
        <v>35</v>
      </c>
      <c r="B27" s="52" t="s">
        <v>36</v>
      </c>
      <c r="C27" s="52" t="s">
        <v>37</v>
      </c>
      <c r="D27" s="8"/>
      <c r="E27" s="8"/>
      <c r="F27" s="8"/>
      <c r="G27" s="32"/>
      <c r="H27" s="3"/>
      <c r="I27" s="85"/>
      <c r="J27" s="3"/>
      <c r="K27" s="3"/>
      <c r="L27" s="3"/>
      <c r="M27" s="3"/>
    </row>
    <row r="28" spans="1:17" x14ac:dyDescent="0.3">
      <c r="A28" s="74" t="s">
        <v>16</v>
      </c>
      <c r="B28" s="56">
        <f>+B13</f>
        <v>0</v>
      </c>
      <c r="C28" s="56">
        <v>0.4</v>
      </c>
      <c r="D28" s="57">
        <v>2.5</v>
      </c>
      <c r="E28" s="8" t="s">
        <v>38</v>
      </c>
      <c r="F28" s="58">
        <v>1E-3</v>
      </c>
      <c r="G28" s="59">
        <f t="shared" ref="G28:G32" si="0">IF(B28&gt;C28,((B28-C28)*D28)/F28/100,)</f>
        <v>0</v>
      </c>
      <c r="H28" s="3"/>
      <c r="I28" s="3"/>
      <c r="J28" s="3"/>
      <c r="K28" s="3"/>
      <c r="L28" s="3"/>
      <c r="M28" s="3"/>
    </row>
    <row r="29" spans="1:17" x14ac:dyDescent="0.3">
      <c r="A29" s="74" t="s">
        <v>18</v>
      </c>
      <c r="B29" s="56">
        <f>+B16</f>
        <v>0</v>
      </c>
      <c r="C29" s="56">
        <v>0.4</v>
      </c>
      <c r="D29" s="57">
        <v>2.5</v>
      </c>
      <c r="E29" s="8" t="s">
        <v>38</v>
      </c>
      <c r="F29" s="58">
        <v>1E-3</v>
      </c>
      <c r="G29" s="59">
        <f t="shared" si="0"/>
        <v>0</v>
      </c>
      <c r="H29" s="3"/>
      <c r="I29" s="3"/>
      <c r="J29" s="3"/>
      <c r="K29" s="3"/>
      <c r="L29" s="3"/>
      <c r="M29" s="3"/>
    </row>
    <row r="30" spans="1:17" hidden="1" x14ac:dyDescent="0.3">
      <c r="A30" s="75" t="s">
        <v>20</v>
      </c>
      <c r="B30" s="56">
        <f>+B14</f>
        <v>0</v>
      </c>
      <c r="C30" s="56">
        <v>0.4</v>
      </c>
      <c r="D30" s="57">
        <v>2.5</v>
      </c>
      <c r="E30" s="8" t="s">
        <v>38</v>
      </c>
      <c r="F30" s="58">
        <v>1E-3</v>
      </c>
      <c r="G30" s="59">
        <f t="shared" si="0"/>
        <v>0</v>
      </c>
      <c r="H30" s="3"/>
      <c r="I30" s="3"/>
      <c r="J30" s="3"/>
      <c r="K30" s="3"/>
      <c r="L30" s="3"/>
      <c r="M30" s="3"/>
    </row>
    <row r="31" spans="1:17" x14ac:dyDescent="0.3">
      <c r="A31" s="74" t="s">
        <v>22</v>
      </c>
      <c r="B31" s="56">
        <f>+B16</f>
        <v>0</v>
      </c>
      <c r="C31" s="56">
        <v>0.4</v>
      </c>
      <c r="D31" s="57">
        <v>2.5</v>
      </c>
      <c r="E31" s="8" t="s">
        <v>38</v>
      </c>
      <c r="F31" s="58">
        <v>1E-3</v>
      </c>
      <c r="G31" s="59">
        <f t="shared" si="0"/>
        <v>0</v>
      </c>
      <c r="H31" s="3"/>
      <c r="I31" s="3"/>
      <c r="J31" s="3"/>
      <c r="K31" s="3"/>
      <c r="L31" s="3"/>
      <c r="M31" s="3"/>
    </row>
    <row r="32" spans="1:17" x14ac:dyDescent="0.3">
      <c r="A32" s="74" t="s">
        <v>67</v>
      </c>
      <c r="B32" s="56">
        <f>+B17</f>
        <v>0</v>
      </c>
      <c r="C32" s="56">
        <v>7</v>
      </c>
      <c r="D32" s="57">
        <v>2.5</v>
      </c>
      <c r="E32" s="8" t="s">
        <v>38</v>
      </c>
      <c r="F32" s="58">
        <v>0.01</v>
      </c>
      <c r="G32" s="59">
        <f t="shared" si="0"/>
        <v>0</v>
      </c>
      <c r="H32" s="3"/>
      <c r="I32" s="3"/>
      <c r="J32" s="3"/>
      <c r="K32" s="3"/>
      <c r="L32" s="3"/>
      <c r="M32" s="3"/>
    </row>
    <row r="33" spans="1:15" x14ac:dyDescent="0.3">
      <c r="A33" s="74" t="s">
        <v>24</v>
      </c>
      <c r="B33" s="56">
        <f>+B18</f>
        <v>0</v>
      </c>
      <c r="C33" s="56">
        <v>3</v>
      </c>
      <c r="D33" s="57">
        <v>2.5</v>
      </c>
      <c r="E33" s="8" t="s">
        <v>38</v>
      </c>
      <c r="F33" s="58">
        <v>0.01</v>
      </c>
      <c r="G33" s="59">
        <v>0</v>
      </c>
      <c r="H33" s="3"/>
      <c r="I33" s="3"/>
      <c r="J33" s="3"/>
      <c r="K33" s="3"/>
      <c r="L33" s="3"/>
      <c r="M33" s="3"/>
    </row>
    <row r="34" spans="1:15" x14ac:dyDescent="0.3">
      <c r="A34" s="31"/>
      <c r="B34" s="56"/>
      <c r="C34" s="56"/>
      <c r="D34" s="57"/>
      <c r="E34" s="8"/>
      <c r="F34" s="58"/>
      <c r="G34" s="59"/>
      <c r="H34" s="3"/>
      <c r="I34" s="3"/>
      <c r="J34" s="3"/>
      <c r="K34" s="3"/>
      <c r="L34" s="3"/>
      <c r="M34" s="3"/>
    </row>
    <row r="35" spans="1:15" x14ac:dyDescent="0.3">
      <c r="A35" s="31"/>
      <c r="B35" s="8"/>
      <c r="C35" s="8"/>
      <c r="D35" s="8"/>
      <c r="E35" s="100" t="s">
        <v>39</v>
      </c>
      <c r="F35" s="100"/>
      <c r="G35" s="51">
        <f>+SUM(G24:G33)</f>
        <v>196.25</v>
      </c>
      <c r="H35" s="3"/>
      <c r="I35" s="83"/>
      <c r="J35" s="3"/>
      <c r="K35" s="3"/>
      <c r="L35" s="3"/>
      <c r="M35" s="3"/>
    </row>
    <row r="36" spans="1:15" x14ac:dyDescent="0.3">
      <c r="A36" s="60"/>
      <c r="B36" s="61"/>
      <c r="C36" s="61"/>
      <c r="D36" s="61"/>
      <c r="E36" s="93" t="s">
        <v>40</v>
      </c>
      <c r="F36" s="93"/>
      <c r="G36" s="62">
        <f>G22-G35</f>
        <v>1508.8941493722571</v>
      </c>
      <c r="H36" s="82"/>
      <c r="I36" s="82"/>
      <c r="J36" s="3"/>
      <c r="K36" s="82"/>
      <c r="L36" s="3"/>
      <c r="M36" s="3"/>
    </row>
    <row r="37" spans="1:15" x14ac:dyDescent="0.3">
      <c r="A37" s="60"/>
      <c r="B37" s="61"/>
      <c r="C37" s="61"/>
      <c r="D37" s="61"/>
      <c r="E37" s="93" t="s">
        <v>41</v>
      </c>
      <c r="F37" s="93"/>
      <c r="G37" s="62">
        <f>G36*E15/1000</f>
        <v>679681.36958473327</v>
      </c>
      <c r="H37" s="3"/>
      <c r="I37" s="82"/>
      <c r="J37" s="3"/>
      <c r="K37" s="3"/>
      <c r="L37" s="3"/>
      <c r="M37" s="3"/>
    </row>
    <row r="38" spans="1:15" x14ac:dyDescent="0.3">
      <c r="A38" s="44" t="s">
        <v>42</v>
      </c>
      <c r="B38" s="63">
        <v>0.85</v>
      </c>
      <c r="C38" s="8"/>
      <c r="D38" s="8"/>
      <c r="E38" s="73"/>
      <c r="F38" s="73"/>
      <c r="G38" s="51">
        <f>+G37*B38</f>
        <v>577729.16414702323</v>
      </c>
      <c r="H38" s="3"/>
      <c r="I38" s="3"/>
      <c r="J38" s="3"/>
      <c r="K38" s="86"/>
      <c r="L38" s="3"/>
      <c r="M38" s="3"/>
      <c r="O38" s="87"/>
    </row>
    <row r="39" spans="1:15" hidden="1" x14ac:dyDescent="0.3">
      <c r="A39" s="44" t="s">
        <v>43</v>
      </c>
      <c r="B39" s="8"/>
      <c r="C39" s="8"/>
      <c r="D39" s="8"/>
      <c r="E39" s="73"/>
      <c r="F39" s="73"/>
      <c r="G39" s="51"/>
      <c r="H39" s="3"/>
      <c r="I39" s="3"/>
      <c r="J39" s="3"/>
      <c r="K39" s="3"/>
      <c r="L39" s="3"/>
      <c r="M39" s="3"/>
    </row>
    <row r="40" spans="1:15" hidden="1" x14ac:dyDescent="0.3">
      <c r="A40" s="31" t="s">
        <v>44</v>
      </c>
      <c r="B40" s="56"/>
      <c r="C40" s="8"/>
      <c r="D40" s="8"/>
      <c r="E40" s="8"/>
      <c r="F40" s="8"/>
      <c r="G40" s="48">
        <f>$E$11*B40/1000</f>
        <v>0</v>
      </c>
      <c r="H40" s="3"/>
      <c r="I40" s="82"/>
      <c r="J40" s="3"/>
      <c r="K40" s="3"/>
      <c r="L40" s="4"/>
      <c r="M40" s="4"/>
    </row>
    <row r="41" spans="1:15" hidden="1" x14ac:dyDescent="0.3">
      <c r="A41" s="31" t="s">
        <v>45</v>
      </c>
      <c r="B41" s="56">
        <v>0</v>
      </c>
      <c r="C41" s="8"/>
      <c r="D41" s="8"/>
      <c r="E41" s="8"/>
      <c r="F41" s="8"/>
      <c r="G41" s="48">
        <f>B41*E11/1000</f>
        <v>0</v>
      </c>
      <c r="H41" s="3"/>
      <c r="I41" s="82"/>
      <c r="J41" s="3"/>
      <c r="K41" s="82"/>
      <c r="L41" s="4"/>
      <c r="M41" s="4"/>
    </row>
    <row r="42" spans="1:15" hidden="1" x14ac:dyDescent="0.3">
      <c r="A42" s="31" t="s">
        <v>46</v>
      </c>
      <c r="B42" s="64">
        <v>0</v>
      </c>
      <c r="C42" s="8"/>
      <c r="D42" s="8"/>
      <c r="E42" s="8"/>
      <c r="F42" s="8"/>
      <c r="G42" s="48">
        <f>B42*G37</f>
        <v>0</v>
      </c>
      <c r="H42" s="3"/>
      <c r="I42" s="82"/>
      <c r="J42" s="3"/>
      <c r="K42" s="3"/>
      <c r="L42" s="4"/>
      <c r="M42" s="4"/>
    </row>
    <row r="43" spans="1:15" hidden="1" x14ac:dyDescent="0.3">
      <c r="A43" s="31" t="s">
        <v>47</v>
      </c>
      <c r="B43" s="64">
        <v>0</v>
      </c>
      <c r="C43" s="8"/>
      <c r="D43" s="8"/>
      <c r="E43" s="8"/>
      <c r="F43" s="8"/>
      <c r="G43" s="48">
        <f>B43*G37</f>
        <v>0</v>
      </c>
      <c r="H43" s="3"/>
      <c r="I43" s="82"/>
      <c r="J43" s="3"/>
      <c r="K43" s="3"/>
      <c r="L43" s="4"/>
      <c r="M43" s="4"/>
    </row>
    <row r="44" spans="1:15" hidden="1" x14ac:dyDescent="0.3">
      <c r="A44" s="31" t="s">
        <v>48</v>
      </c>
      <c r="B44" s="64">
        <v>0</v>
      </c>
      <c r="C44" s="8"/>
      <c r="D44" s="8"/>
      <c r="E44" s="8"/>
      <c r="F44" s="8"/>
      <c r="G44" s="48">
        <f>B44*G37</f>
        <v>0</v>
      </c>
      <c r="H44" s="3"/>
      <c r="I44" s="82"/>
      <c r="J44" s="3"/>
      <c r="K44" s="3"/>
      <c r="L44" s="4"/>
      <c r="M44" s="4"/>
    </row>
    <row r="45" spans="1:15" hidden="1" x14ac:dyDescent="0.3">
      <c r="A45" s="31" t="s">
        <v>49</v>
      </c>
      <c r="B45" s="64">
        <v>0</v>
      </c>
      <c r="C45" s="8"/>
      <c r="D45" s="8"/>
      <c r="E45" s="8"/>
      <c r="F45" s="8"/>
      <c r="G45" s="48">
        <f>B45*G37</f>
        <v>0</v>
      </c>
      <c r="H45" s="3"/>
      <c r="I45" s="82"/>
      <c r="J45" s="3"/>
      <c r="K45" s="3"/>
      <c r="L45" s="4"/>
      <c r="M45" s="4"/>
    </row>
    <row r="46" spans="1:15" hidden="1" x14ac:dyDescent="0.3">
      <c r="A46" s="31" t="s">
        <v>50</v>
      </c>
      <c r="B46" s="64">
        <v>0</v>
      </c>
      <c r="C46" s="8"/>
      <c r="D46" s="8"/>
      <c r="E46" s="8"/>
      <c r="F46" s="8"/>
      <c r="G46" s="48">
        <f>B46*G37</f>
        <v>0</v>
      </c>
      <c r="H46" s="3"/>
      <c r="I46" s="82"/>
      <c r="J46" s="3"/>
      <c r="K46" s="3"/>
      <c r="L46" s="4"/>
      <c r="M46" s="4"/>
    </row>
    <row r="47" spans="1:15" hidden="1" x14ac:dyDescent="0.3">
      <c r="A47" s="31" t="s">
        <v>51</v>
      </c>
      <c r="B47" s="64">
        <v>0</v>
      </c>
      <c r="C47" s="8"/>
      <c r="D47" s="8"/>
      <c r="E47" s="8"/>
      <c r="F47" s="8"/>
      <c r="G47" s="48">
        <f>B47*G37</f>
        <v>0</v>
      </c>
      <c r="H47" s="3"/>
      <c r="I47" s="82"/>
      <c r="J47" s="3"/>
      <c r="K47" s="3"/>
      <c r="L47" s="4"/>
      <c r="M47" s="4"/>
    </row>
    <row r="48" spans="1:15" hidden="1" x14ac:dyDescent="0.3">
      <c r="A48" s="31" t="s">
        <v>52</v>
      </c>
      <c r="B48" s="8"/>
      <c r="C48" s="8"/>
      <c r="D48" s="8"/>
      <c r="E48" s="8"/>
      <c r="F48" s="8"/>
      <c r="G48" s="48"/>
      <c r="H48" s="82"/>
      <c r="I48" s="3"/>
      <c r="J48" s="3"/>
      <c r="K48" s="3"/>
      <c r="L48" s="3"/>
      <c r="M48" s="3"/>
    </row>
    <row r="49" spans="1:14" hidden="1" x14ac:dyDescent="0.3">
      <c r="A49" s="31" t="s">
        <v>53</v>
      </c>
      <c r="B49" s="8"/>
      <c r="C49" s="8"/>
      <c r="D49" s="8"/>
      <c r="E49" s="8"/>
      <c r="F49" s="8"/>
      <c r="G49" s="48"/>
      <c r="H49" s="3"/>
      <c r="I49" s="82"/>
      <c r="J49" s="82"/>
      <c r="K49" s="82"/>
      <c r="L49" s="3"/>
      <c r="M49" s="3"/>
    </row>
    <row r="50" spans="1:14" hidden="1" x14ac:dyDescent="0.3">
      <c r="A50" s="31" t="s">
        <v>54</v>
      </c>
      <c r="B50" s="64"/>
      <c r="C50" s="8"/>
      <c r="D50" s="8"/>
      <c r="E50" s="8"/>
      <c r="F50" s="8"/>
      <c r="G50" s="51"/>
      <c r="H50" s="3"/>
      <c r="I50" s="82"/>
      <c r="J50" s="82"/>
      <c r="K50" s="3"/>
      <c r="L50" s="3"/>
      <c r="M50" s="3"/>
    </row>
    <row r="51" spans="1:14" hidden="1" x14ac:dyDescent="0.3">
      <c r="A51" s="31" t="s">
        <v>54</v>
      </c>
      <c r="B51" s="64"/>
      <c r="C51" s="8"/>
      <c r="D51" s="8"/>
      <c r="E51" s="8"/>
      <c r="F51" s="8"/>
      <c r="G51" s="48"/>
      <c r="H51" s="3"/>
      <c r="I51" s="82"/>
      <c r="J51" s="82"/>
      <c r="K51" s="3"/>
      <c r="L51" s="3"/>
      <c r="M51" s="3"/>
    </row>
    <row r="52" spans="1:14" hidden="1" x14ac:dyDescent="0.3">
      <c r="A52" s="44" t="s">
        <v>55</v>
      </c>
      <c r="B52" s="64"/>
      <c r="C52" s="8"/>
      <c r="D52" s="8"/>
      <c r="E52" s="8"/>
      <c r="F52" s="8"/>
      <c r="G52" s="51"/>
      <c r="H52" s="3"/>
      <c r="I52" s="82"/>
      <c r="J52" s="82"/>
      <c r="K52" s="3"/>
      <c r="L52" s="3"/>
      <c r="M52" s="3"/>
    </row>
    <row r="53" spans="1:14" hidden="1" x14ac:dyDescent="0.3">
      <c r="A53" s="44" t="s">
        <v>54</v>
      </c>
      <c r="B53" s="64"/>
      <c r="C53" s="8"/>
      <c r="D53" s="8"/>
      <c r="E53" s="8"/>
      <c r="F53" s="8"/>
      <c r="G53" s="51"/>
      <c r="H53" s="3"/>
      <c r="I53" s="82"/>
      <c r="J53" s="82"/>
      <c r="K53" s="82"/>
      <c r="L53" s="3"/>
      <c r="M53" s="3"/>
    </row>
    <row r="54" spans="1:14" hidden="1" x14ac:dyDescent="0.3">
      <c r="A54" s="44" t="s">
        <v>54</v>
      </c>
      <c r="B54" s="64"/>
      <c r="C54" s="8"/>
      <c r="D54" s="8"/>
      <c r="E54" s="8"/>
      <c r="F54" s="8"/>
      <c r="G54" s="51"/>
      <c r="H54" s="3"/>
      <c r="I54" s="82"/>
      <c r="J54" s="82"/>
      <c r="K54" s="82"/>
      <c r="L54" s="3"/>
      <c r="M54" s="3"/>
    </row>
    <row r="55" spans="1:14" x14ac:dyDescent="0.3">
      <c r="A55" s="44" t="s">
        <v>56</v>
      </c>
      <c r="B55" s="77">
        <v>42.2</v>
      </c>
      <c r="C55" s="8"/>
      <c r="D55" s="8"/>
      <c r="E55" s="8"/>
      <c r="F55" s="8"/>
      <c r="G55" s="51">
        <f>+B55*E11/1000</f>
        <v>21100</v>
      </c>
      <c r="H55" s="3"/>
      <c r="I55" s="82"/>
      <c r="J55" s="82"/>
      <c r="K55" s="82"/>
      <c r="L55" s="3"/>
      <c r="M55" s="3"/>
      <c r="N55" s="88"/>
    </row>
    <row r="56" spans="1:14" hidden="1" x14ac:dyDescent="0.3">
      <c r="A56" s="44" t="s">
        <v>57</v>
      </c>
      <c r="B56" s="64"/>
      <c r="C56" s="8"/>
      <c r="D56" s="8"/>
      <c r="E56" s="8"/>
      <c r="F56" s="8"/>
      <c r="G56" s="51"/>
      <c r="H56" s="3"/>
      <c r="I56" s="82"/>
      <c r="J56" s="82"/>
      <c r="K56" s="3"/>
      <c r="L56" s="3"/>
      <c r="M56" s="3"/>
    </row>
    <row r="57" spans="1:14" hidden="1" x14ac:dyDescent="0.3">
      <c r="A57" s="44" t="s">
        <v>58</v>
      </c>
      <c r="B57" s="64"/>
      <c r="C57" s="8"/>
      <c r="D57" s="8"/>
      <c r="E57" s="8"/>
      <c r="F57" s="8"/>
      <c r="G57" s="51"/>
      <c r="H57" s="3"/>
      <c r="I57" s="82"/>
      <c r="J57" s="82"/>
      <c r="K57" s="3"/>
      <c r="L57" s="3"/>
      <c r="M57" s="3"/>
    </row>
    <row r="58" spans="1:14" hidden="1" x14ac:dyDescent="0.3">
      <c r="A58" s="31" t="s">
        <v>59</v>
      </c>
      <c r="B58" s="64"/>
      <c r="C58" s="8"/>
      <c r="D58" s="8"/>
      <c r="E58" s="8"/>
      <c r="F58" s="8"/>
      <c r="G58" s="51"/>
      <c r="H58" s="3"/>
      <c r="I58" s="82"/>
      <c r="J58" s="82"/>
      <c r="K58" s="3"/>
      <c r="L58" s="3"/>
      <c r="M58" s="3"/>
    </row>
    <row r="59" spans="1:14" hidden="1" x14ac:dyDescent="0.3">
      <c r="A59" s="44" t="s">
        <v>60</v>
      </c>
      <c r="B59" s="64"/>
      <c r="C59" s="8"/>
      <c r="D59" s="8"/>
      <c r="E59" s="8"/>
      <c r="F59" s="8"/>
      <c r="G59" s="51"/>
      <c r="H59" s="3"/>
      <c r="I59" s="82"/>
      <c r="J59" s="82"/>
      <c r="K59" s="82"/>
      <c r="L59" s="3"/>
      <c r="M59" s="3"/>
    </row>
    <row r="60" spans="1:14" x14ac:dyDescent="0.3">
      <c r="A60" s="37"/>
      <c r="B60" s="18"/>
      <c r="C60" s="18"/>
      <c r="D60" s="18"/>
      <c r="E60" s="94" t="s">
        <v>61</v>
      </c>
      <c r="F60" s="94"/>
      <c r="G60" s="65">
        <v>150000</v>
      </c>
      <c r="H60" s="3"/>
      <c r="I60" s="86"/>
      <c r="J60" s="3"/>
      <c r="K60" s="82"/>
      <c r="L60" s="82"/>
      <c r="M60" s="3"/>
    </row>
    <row r="61" spans="1:14" x14ac:dyDescent="0.3">
      <c r="A61" s="66" t="s">
        <v>62</v>
      </c>
      <c r="B61" s="67"/>
      <c r="C61" s="67"/>
      <c r="D61" s="67"/>
      <c r="E61" s="67"/>
      <c r="F61" s="67"/>
      <c r="G61" s="92">
        <f>+G60*7.5</f>
        <v>1125000</v>
      </c>
      <c r="H61" s="89"/>
      <c r="I61" s="90"/>
      <c r="J61" s="3"/>
      <c r="K61" s="82"/>
      <c r="L61" s="3"/>
      <c r="M61" s="3"/>
      <c r="N61" s="91"/>
    </row>
    <row r="62" spans="1:14" x14ac:dyDescent="0.3">
      <c r="A62" s="8"/>
      <c r="B62" s="8"/>
      <c r="C62" s="8"/>
      <c r="D62" s="8"/>
      <c r="E62" s="8"/>
      <c r="F62" s="8"/>
      <c r="G62" s="8"/>
      <c r="H62" s="89"/>
      <c r="I62" s="90"/>
      <c r="J62" s="3"/>
      <c r="K62" s="82"/>
      <c r="L62" s="3"/>
      <c r="M62" s="3"/>
    </row>
    <row r="63" spans="1:14" x14ac:dyDescent="0.3">
      <c r="A63" s="8"/>
      <c r="B63" s="8"/>
      <c r="C63" s="8"/>
      <c r="D63" s="8"/>
      <c r="E63" s="8"/>
      <c r="F63" s="8"/>
      <c r="G63" s="8"/>
      <c r="H63" s="89"/>
      <c r="I63" s="90"/>
      <c r="J63" s="3"/>
      <c r="K63" s="82"/>
      <c r="L63" s="3"/>
      <c r="M63" s="3"/>
    </row>
    <row r="64" spans="1:14" x14ac:dyDescent="0.3">
      <c r="A64" s="72" t="s">
        <v>63</v>
      </c>
      <c r="B64" s="8"/>
      <c r="C64" s="68" t="s">
        <v>64</v>
      </c>
      <c r="D64" s="69"/>
      <c r="E64" s="8"/>
      <c r="F64" s="95" t="s">
        <v>65</v>
      </c>
      <c r="G64" s="95"/>
      <c r="H64" s="3"/>
      <c r="I64" s="90"/>
      <c r="J64" s="3"/>
      <c r="K64" s="3"/>
      <c r="L64" s="3"/>
      <c r="M64" s="3"/>
    </row>
  </sheetData>
  <mergeCells count="9">
    <mergeCell ref="E37:F37"/>
    <mergeCell ref="E60:F60"/>
    <mergeCell ref="F64:G64"/>
    <mergeCell ref="A5:G5"/>
    <mergeCell ref="B6:F6"/>
    <mergeCell ref="C10:E10"/>
    <mergeCell ref="E22:F22"/>
    <mergeCell ref="E35:F35"/>
    <mergeCell ref="E36:F3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R64"/>
  <sheetViews>
    <sheetView workbookViewId="0">
      <selection activeCell="B8" sqref="B8"/>
    </sheetView>
  </sheetViews>
  <sheetFormatPr baseColWidth="10" defaultRowHeight="15.05" x14ac:dyDescent="0.3"/>
  <cols>
    <col min="1" max="1" width="26.44140625" customWidth="1"/>
    <col min="2" max="2" width="10.5546875" customWidth="1"/>
    <col min="3" max="3" width="7.88671875" customWidth="1"/>
    <col min="4" max="4" width="8.6640625" customWidth="1"/>
    <col min="5" max="5" width="13.44140625" customWidth="1"/>
    <col min="6" max="6" width="10.33203125" customWidth="1"/>
    <col min="7" max="7" width="12.88671875" customWidth="1"/>
    <col min="8" max="8" width="4.33203125" customWidth="1"/>
    <col min="9" max="9" width="12.44140625" customWidth="1"/>
    <col min="10" max="10" width="8.5546875" customWidth="1"/>
    <col min="11" max="11" width="11.6640625" customWidth="1"/>
    <col min="12" max="13" width="9.44140625" customWidth="1"/>
    <col min="15" max="15" width="14.109375" customWidth="1"/>
    <col min="18" max="18" width="10.33203125" customWidth="1"/>
  </cols>
  <sheetData>
    <row r="1" spans="1:18" ht="17.05" x14ac:dyDescent="0.35">
      <c r="A1" s="1"/>
      <c r="B1" s="2"/>
      <c r="C1" s="1"/>
      <c r="D1" s="1"/>
      <c r="E1" s="1"/>
      <c r="F1" s="1"/>
      <c r="G1" s="1"/>
      <c r="H1" s="3"/>
      <c r="I1" s="3"/>
      <c r="J1" s="3"/>
      <c r="K1" s="3"/>
      <c r="L1" s="4"/>
      <c r="M1" s="4"/>
    </row>
    <row r="2" spans="1:18" x14ac:dyDescent="0.3">
      <c r="A2" s="1"/>
      <c r="B2" s="1"/>
      <c r="C2" s="1"/>
      <c r="D2" s="1"/>
      <c r="E2" s="1"/>
      <c r="F2" s="1"/>
      <c r="G2" s="1"/>
      <c r="H2" s="3"/>
      <c r="I2" s="5" t="s">
        <v>0</v>
      </c>
      <c r="J2" s="5" t="s">
        <v>1</v>
      </c>
      <c r="K2" s="5" t="s">
        <v>2</v>
      </c>
      <c r="L2" s="4" t="s">
        <v>3</v>
      </c>
      <c r="M2" s="4"/>
    </row>
    <row r="3" spans="1:18" x14ac:dyDescent="0.3">
      <c r="A3" s="1"/>
      <c r="B3" s="1"/>
      <c r="C3" s="1"/>
      <c r="D3" s="1"/>
      <c r="E3" s="1"/>
      <c r="F3" s="1"/>
      <c r="G3" s="1"/>
      <c r="H3" s="3" t="s">
        <v>4</v>
      </c>
      <c r="I3" s="78">
        <v>1.3948</v>
      </c>
      <c r="J3" s="6">
        <v>5</v>
      </c>
      <c r="K3" s="7">
        <v>2.2046223</v>
      </c>
      <c r="L3" s="4">
        <v>0.87951999999999997</v>
      </c>
      <c r="M3" s="4">
        <f>L3*K3*1000</f>
        <v>1939.0094052959998</v>
      </c>
    </row>
    <row r="4" spans="1:18" x14ac:dyDescent="0.3">
      <c r="A4" s="1"/>
      <c r="B4" s="1"/>
      <c r="C4" s="1"/>
      <c r="D4" s="1"/>
      <c r="E4" s="1"/>
      <c r="F4" s="1"/>
      <c r="G4" s="1"/>
      <c r="H4" s="3" t="s">
        <v>5</v>
      </c>
      <c r="I4" s="6">
        <v>27.53</v>
      </c>
      <c r="J4" s="6">
        <v>6</v>
      </c>
      <c r="K4" s="7">
        <v>31.1035</v>
      </c>
      <c r="L4" s="4"/>
      <c r="M4" s="4"/>
    </row>
    <row r="5" spans="1:18" ht="25.55" x14ac:dyDescent="0.45">
      <c r="A5" s="96" t="s">
        <v>66</v>
      </c>
      <c r="B5" s="96"/>
      <c r="C5" s="96"/>
      <c r="D5" s="96"/>
      <c r="E5" s="96"/>
      <c r="F5" s="96"/>
      <c r="G5" s="96"/>
      <c r="H5" s="3"/>
      <c r="I5" s="3"/>
      <c r="J5" s="3"/>
      <c r="K5" s="3"/>
      <c r="L5" s="4"/>
      <c r="M5" s="4"/>
    </row>
    <row r="6" spans="1:18" x14ac:dyDescent="0.3">
      <c r="A6" s="8" t="s">
        <v>6</v>
      </c>
      <c r="B6" s="97">
        <f ca="1">+TODAY()</f>
        <v>46253</v>
      </c>
      <c r="C6" s="97"/>
      <c r="D6" s="97"/>
      <c r="E6" s="97"/>
      <c r="F6" s="97"/>
      <c r="G6" s="9"/>
      <c r="H6" s="3"/>
      <c r="I6" s="3"/>
      <c r="J6" s="3"/>
      <c r="K6" s="3"/>
      <c r="L6" s="4"/>
      <c r="M6" s="4"/>
    </row>
    <row r="7" spans="1:18" x14ac:dyDescent="0.3">
      <c r="A7" s="8" t="s">
        <v>7</v>
      </c>
      <c r="B7" s="10" t="s">
        <v>68</v>
      </c>
      <c r="C7" s="8"/>
      <c r="D7" s="8"/>
      <c r="E7" s="8"/>
      <c r="F7" s="8"/>
      <c r="G7" s="8"/>
      <c r="H7" s="3"/>
      <c r="I7" s="3"/>
      <c r="J7" s="3"/>
      <c r="K7" s="3"/>
      <c r="L7" s="4"/>
      <c r="M7" s="4"/>
    </row>
    <row r="8" spans="1:18" x14ac:dyDescent="0.3">
      <c r="A8" s="8" t="s">
        <v>8</v>
      </c>
      <c r="B8" s="11" t="s">
        <v>69</v>
      </c>
      <c r="C8" s="8"/>
      <c r="D8" s="8"/>
      <c r="E8" s="8"/>
      <c r="F8" s="8"/>
      <c r="G8" s="8"/>
      <c r="H8" s="3"/>
      <c r="I8" s="3"/>
      <c r="J8" s="3"/>
      <c r="K8" s="3"/>
      <c r="L8" s="4"/>
      <c r="M8" s="4"/>
    </row>
    <row r="9" spans="1:18" x14ac:dyDescent="0.3">
      <c r="A9" s="8"/>
      <c r="B9" s="8"/>
      <c r="C9" s="8"/>
      <c r="D9" s="8"/>
      <c r="E9" s="8"/>
      <c r="F9" s="8"/>
      <c r="G9" s="8"/>
      <c r="H9" s="3"/>
      <c r="I9" s="3"/>
      <c r="J9" s="3"/>
      <c r="K9" s="3"/>
      <c r="L9" s="4"/>
      <c r="M9" s="4"/>
    </row>
    <row r="10" spans="1:18" x14ac:dyDescent="0.3">
      <c r="A10" s="12" t="s">
        <v>9</v>
      </c>
      <c r="B10" s="12" t="s">
        <v>10</v>
      </c>
      <c r="C10" s="98" t="s">
        <v>11</v>
      </c>
      <c r="D10" s="98"/>
      <c r="E10" s="98"/>
      <c r="F10" s="13" t="s">
        <v>12</v>
      </c>
      <c r="G10" s="14"/>
      <c r="H10" s="3"/>
      <c r="I10" s="3"/>
      <c r="J10" s="3"/>
      <c r="K10" s="3"/>
      <c r="L10" s="4"/>
      <c r="M10" s="4"/>
    </row>
    <row r="11" spans="1:18" x14ac:dyDescent="0.3">
      <c r="A11" s="15" t="s">
        <v>4</v>
      </c>
      <c r="B11" s="16">
        <v>25</v>
      </c>
      <c r="C11" s="17" t="s">
        <v>13</v>
      </c>
      <c r="D11" s="18"/>
      <c r="E11" s="24">
        <v>100000</v>
      </c>
      <c r="F11" s="20" t="s">
        <v>4</v>
      </c>
      <c r="G11" s="21">
        <v>1850</v>
      </c>
      <c r="H11" s="3"/>
      <c r="I11" s="46"/>
      <c r="J11" s="3"/>
      <c r="K11" s="3"/>
      <c r="L11" s="4"/>
      <c r="M11" s="4"/>
    </row>
    <row r="12" spans="1:18" x14ac:dyDescent="0.3">
      <c r="A12" s="22" t="s">
        <v>14</v>
      </c>
      <c r="B12" s="16">
        <v>3.5</v>
      </c>
      <c r="C12" s="23" t="s">
        <v>15</v>
      </c>
      <c r="D12" s="30">
        <v>0.05</v>
      </c>
      <c r="E12" s="24">
        <f>+E11*D12</f>
        <v>5000</v>
      </c>
      <c r="F12" s="25" t="s">
        <v>5</v>
      </c>
      <c r="G12" s="71">
        <v>57</v>
      </c>
      <c r="H12" s="3"/>
      <c r="I12" s="46"/>
      <c r="J12" s="3"/>
      <c r="K12" s="80"/>
      <c r="L12" s="81"/>
      <c r="M12" s="81"/>
    </row>
    <row r="13" spans="1:18" x14ac:dyDescent="0.3">
      <c r="A13" s="22" t="s">
        <v>16</v>
      </c>
      <c r="B13" s="26">
        <v>0</v>
      </c>
      <c r="C13" s="23" t="s">
        <v>17</v>
      </c>
      <c r="D13" s="27">
        <v>0</v>
      </c>
      <c r="E13" s="24">
        <f>+E11-E12</f>
        <v>95000</v>
      </c>
      <c r="F13" s="28"/>
      <c r="G13" s="29"/>
      <c r="H13" s="3"/>
      <c r="I13" s="3"/>
      <c r="J13" s="3"/>
      <c r="K13" s="80"/>
      <c r="L13" s="4"/>
      <c r="M13" s="4"/>
    </row>
    <row r="14" spans="1:18" x14ac:dyDescent="0.3">
      <c r="A14" s="22" t="s">
        <v>18</v>
      </c>
      <c r="B14" s="26">
        <v>0</v>
      </c>
      <c r="C14" s="23" t="s">
        <v>19</v>
      </c>
      <c r="D14" s="30">
        <v>0.01</v>
      </c>
      <c r="E14" s="24">
        <f>+E13*D14</f>
        <v>950</v>
      </c>
      <c r="F14" s="31"/>
      <c r="G14" s="32"/>
      <c r="H14" s="3"/>
      <c r="I14" s="3"/>
      <c r="J14" s="3"/>
      <c r="K14" s="82"/>
      <c r="L14" s="4"/>
      <c r="M14" s="4"/>
    </row>
    <row r="15" spans="1:18" x14ac:dyDescent="0.3">
      <c r="A15" s="76" t="s">
        <v>20</v>
      </c>
      <c r="B15" s="26">
        <v>0</v>
      </c>
      <c r="C15" s="33" t="s">
        <v>21</v>
      </c>
      <c r="D15" s="33"/>
      <c r="E15" s="34">
        <f>+E13-E14</f>
        <v>94050</v>
      </c>
      <c r="F15" s="31"/>
      <c r="G15" s="32"/>
      <c r="H15" s="3"/>
      <c r="I15" s="3"/>
      <c r="J15" s="3"/>
      <c r="K15" s="3"/>
      <c r="L15" s="4"/>
      <c r="M15" s="4"/>
      <c r="R15" s="35"/>
    </row>
    <row r="16" spans="1:18" x14ac:dyDescent="0.3">
      <c r="A16" s="36" t="s">
        <v>22</v>
      </c>
      <c r="B16" s="26">
        <v>0</v>
      </c>
      <c r="C16" s="37"/>
      <c r="D16" s="18"/>
      <c r="E16" s="38"/>
      <c r="F16" s="18"/>
      <c r="G16" s="39"/>
      <c r="H16" s="3"/>
      <c r="I16" s="3"/>
      <c r="J16" s="3"/>
      <c r="K16" s="3"/>
      <c r="L16" s="4"/>
      <c r="M16" s="4"/>
      <c r="R16" s="40"/>
    </row>
    <row r="17" spans="1:16" x14ac:dyDescent="0.3">
      <c r="A17" s="36" t="s">
        <v>67</v>
      </c>
      <c r="B17" s="26">
        <v>0</v>
      </c>
      <c r="C17" s="8"/>
      <c r="D17" s="8"/>
      <c r="E17" s="41"/>
      <c r="F17" s="8"/>
      <c r="G17" s="32"/>
      <c r="H17" s="3"/>
      <c r="I17" s="3"/>
      <c r="J17" s="3"/>
      <c r="K17" s="3"/>
      <c r="L17" s="4"/>
      <c r="M17" s="4"/>
    </row>
    <row r="18" spans="1:16" x14ac:dyDescent="0.3">
      <c r="A18" s="42" t="s">
        <v>24</v>
      </c>
      <c r="B18" s="43">
        <v>0</v>
      </c>
      <c r="C18" s="8"/>
      <c r="D18" s="8"/>
      <c r="E18" s="41"/>
      <c r="F18" s="8"/>
      <c r="G18" s="32"/>
      <c r="H18" s="3"/>
      <c r="I18" s="3"/>
      <c r="J18" s="3"/>
      <c r="K18" s="3"/>
      <c r="L18" s="4"/>
      <c r="M18" s="4"/>
    </row>
    <row r="19" spans="1:16" x14ac:dyDescent="0.3">
      <c r="A19" s="44" t="s">
        <v>25</v>
      </c>
      <c r="B19" s="8"/>
      <c r="C19" s="8"/>
      <c r="D19" s="8"/>
      <c r="E19" s="8"/>
      <c r="F19" s="8"/>
      <c r="G19" s="32"/>
      <c r="H19" s="3"/>
      <c r="I19" s="3"/>
      <c r="J19" s="3"/>
      <c r="K19" s="3"/>
      <c r="L19" s="3"/>
      <c r="M19" s="3"/>
    </row>
    <row r="20" spans="1:16" x14ac:dyDescent="0.3">
      <c r="A20" s="31" t="s">
        <v>4</v>
      </c>
      <c r="B20" s="45">
        <f>B11</f>
        <v>25</v>
      </c>
      <c r="C20" s="8"/>
      <c r="D20" s="46">
        <v>-3</v>
      </c>
      <c r="E20" s="47">
        <v>0.95</v>
      </c>
      <c r="F20" s="79">
        <f>(MIN(B11+D20,B11*E20))/100</f>
        <v>0.22</v>
      </c>
      <c r="G20" s="48">
        <f>+F20*G11</f>
        <v>407</v>
      </c>
      <c r="H20" s="3"/>
      <c r="I20" s="83"/>
      <c r="J20" s="3"/>
      <c r="K20" s="3"/>
      <c r="L20" s="3"/>
      <c r="M20" s="3"/>
      <c r="P20" s="35"/>
    </row>
    <row r="21" spans="1:16" x14ac:dyDescent="0.3">
      <c r="A21" s="31" t="s">
        <v>5</v>
      </c>
      <c r="B21" s="49">
        <f>ROUND(B12/K4*100,3)</f>
        <v>11.253</v>
      </c>
      <c r="C21" s="70">
        <v>-1E-4</v>
      </c>
      <c r="D21" s="46">
        <v>-1.5</v>
      </c>
      <c r="E21" s="47">
        <v>0.95</v>
      </c>
      <c r="F21" s="8"/>
      <c r="G21" s="50">
        <f>((B12/K4*1000)+D21)*E21*G12</f>
        <v>6012.1406983940706</v>
      </c>
      <c r="H21" s="3"/>
      <c r="I21" s="83"/>
      <c r="J21" s="84"/>
      <c r="K21" s="3"/>
      <c r="L21" s="3"/>
      <c r="M21" s="3"/>
    </row>
    <row r="22" spans="1:16" x14ac:dyDescent="0.3">
      <c r="A22" s="31"/>
      <c r="B22" s="8"/>
      <c r="C22" s="8"/>
      <c r="D22" s="8"/>
      <c r="E22" s="99" t="s">
        <v>26</v>
      </c>
      <c r="F22" s="99"/>
      <c r="G22" s="51">
        <f>SUM(G20:G21)</f>
        <v>6419.1406983940706</v>
      </c>
      <c r="H22" s="82"/>
      <c r="I22" s="3"/>
      <c r="J22" s="3"/>
      <c r="K22" s="3"/>
      <c r="L22" s="3"/>
      <c r="M22" s="3"/>
    </row>
    <row r="23" spans="1:16" x14ac:dyDescent="0.3">
      <c r="A23" s="44" t="s">
        <v>27</v>
      </c>
      <c r="B23" s="8"/>
      <c r="C23" s="8"/>
      <c r="D23" s="8"/>
      <c r="E23" s="8"/>
      <c r="F23" s="8"/>
      <c r="G23" s="32"/>
      <c r="H23" s="3"/>
      <c r="I23" s="3"/>
      <c r="J23" s="3"/>
      <c r="K23" s="3"/>
      <c r="L23" s="3"/>
      <c r="M23" s="3"/>
    </row>
    <row r="24" spans="1:16" x14ac:dyDescent="0.3">
      <c r="A24" s="31" t="s">
        <v>28</v>
      </c>
      <c r="B24" s="52" t="s">
        <v>29</v>
      </c>
      <c r="C24" s="52" t="s">
        <v>30</v>
      </c>
      <c r="D24" s="52"/>
      <c r="E24" s="52" t="s">
        <v>31</v>
      </c>
      <c r="F24" s="52"/>
      <c r="G24" s="48">
        <v>-190</v>
      </c>
      <c r="H24" s="3"/>
      <c r="I24" s="83"/>
      <c r="J24" s="3"/>
      <c r="K24" s="3"/>
      <c r="L24" s="3"/>
      <c r="M24" s="3"/>
    </row>
    <row r="25" spans="1:16" x14ac:dyDescent="0.3">
      <c r="A25" s="31" t="s">
        <v>32</v>
      </c>
      <c r="B25" s="53">
        <v>0</v>
      </c>
      <c r="C25" s="54">
        <v>0</v>
      </c>
      <c r="D25" s="55">
        <f>B25-C25</f>
        <v>0</v>
      </c>
      <c r="E25" s="52">
        <v>0.15</v>
      </c>
      <c r="F25" s="52"/>
      <c r="G25" s="48">
        <f>E25*D25</f>
        <v>0</v>
      </c>
      <c r="H25" s="3"/>
      <c r="I25" s="3"/>
      <c r="J25" s="3"/>
      <c r="K25" s="3"/>
      <c r="L25" s="3"/>
      <c r="M25" s="3"/>
    </row>
    <row r="26" spans="1:16" hidden="1" x14ac:dyDescent="0.3">
      <c r="A26" s="31" t="s">
        <v>33</v>
      </c>
      <c r="B26" s="46">
        <f>+B12/K4*100+D21</f>
        <v>9.7527529056215538</v>
      </c>
      <c r="C26" s="8"/>
      <c r="D26" s="46">
        <v>0</v>
      </c>
      <c r="E26" s="8"/>
      <c r="F26" s="8"/>
      <c r="G26" s="48">
        <v>0</v>
      </c>
      <c r="H26" s="3"/>
      <c r="I26" s="82"/>
      <c r="J26" s="3"/>
      <c r="K26" s="3"/>
      <c r="L26" s="3"/>
      <c r="M26" s="3"/>
    </row>
    <row r="27" spans="1:16" x14ac:dyDescent="0.3">
      <c r="A27" s="44" t="s">
        <v>35</v>
      </c>
      <c r="B27" s="52" t="s">
        <v>36</v>
      </c>
      <c r="C27" s="52" t="s">
        <v>37</v>
      </c>
      <c r="D27" s="8"/>
      <c r="E27" s="8"/>
      <c r="F27" s="8"/>
      <c r="G27" s="32"/>
      <c r="H27" s="3"/>
      <c r="I27" s="85"/>
      <c r="J27" s="3"/>
      <c r="K27" s="3"/>
      <c r="L27" s="3"/>
      <c r="M27" s="3"/>
    </row>
    <row r="28" spans="1:16" x14ac:dyDescent="0.3">
      <c r="A28" s="74" t="s">
        <v>16</v>
      </c>
      <c r="B28" s="56">
        <f>+B13</f>
        <v>0</v>
      </c>
      <c r="C28" s="56">
        <v>0.4</v>
      </c>
      <c r="D28" s="57">
        <v>2.5</v>
      </c>
      <c r="E28" s="8" t="s">
        <v>38</v>
      </c>
      <c r="F28" s="58">
        <v>1E-3</v>
      </c>
      <c r="G28" s="59">
        <f t="shared" ref="G28:G32" si="0">IF(B28&gt;C28,((B28-C28)*D28)/F28/100,)</f>
        <v>0</v>
      </c>
      <c r="H28" s="3"/>
      <c r="I28" s="3"/>
      <c r="J28" s="3"/>
      <c r="K28" s="3"/>
      <c r="L28" s="3"/>
      <c r="M28" s="3"/>
    </row>
    <row r="29" spans="1:16" x14ac:dyDescent="0.3">
      <c r="A29" s="74" t="s">
        <v>18</v>
      </c>
      <c r="B29" s="56">
        <f>+B16</f>
        <v>0</v>
      </c>
      <c r="C29" s="56">
        <v>0.4</v>
      </c>
      <c r="D29" s="57">
        <v>2.5</v>
      </c>
      <c r="E29" s="8" t="s">
        <v>38</v>
      </c>
      <c r="F29" s="58">
        <v>1E-3</v>
      </c>
      <c r="G29" s="59">
        <f t="shared" si="0"/>
        <v>0</v>
      </c>
      <c r="H29" s="3"/>
      <c r="I29" s="3"/>
      <c r="J29" s="3"/>
      <c r="K29" s="3"/>
      <c r="L29" s="3"/>
      <c r="M29" s="3"/>
    </row>
    <row r="30" spans="1:16" hidden="1" x14ac:dyDescent="0.3">
      <c r="A30" s="75" t="s">
        <v>20</v>
      </c>
      <c r="B30" s="56">
        <f>+B14</f>
        <v>0</v>
      </c>
      <c r="C30" s="56">
        <v>0.4</v>
      </c>
      <c r="D30" s="57">
        <v>2.5</v>
      </c>
      <c r="E30" s="8" t="s">
        <v>38</v>
      </c>
      <c r="F30" s="58">
        <v>1E-3</v>
      </c>
      <c r="G30" s="59">
        <f t="shared" si="0"/>
        <v>0</v>
      </c>
      <c r="H30" s="3"/>
      <c r="I30" s="3"/>
      <c r="J30" s="3"/>
      <c r="K30" s="3"/>
      <c r="L30" s="3"/>
      <c r="M30" s="3"/>
    </row>
    <row r="31" spans="1:16" x14ac:dyDescent="0.3">
      <c r="A31" s="74" t="s">
        <v>22</v>
      </c>
      <c r="B31" s="56">
        <f>+B16</f>
        <v>0</v>
      </c>
      <c r="C31" s="56">
        <v>0.4</v>
      </c>
      <c r="D31" s="57">
        <v>2.5</v>
      </c>
      <c r="E31" s="8" t="s">
        <v>38</v>
      </c>
      <c r="F31" s="58">
        <v>1E-3</v>
      </c>
      <c r="G31" s="59">
        <f t="shared" si="0"/>
        <v>0</v>
      </c>
      <c r="H31" s="3"/>
      <c r="I31" s="3"/>
      <c r="J31" s="3"/>
      <c r="K31" s="3"/>
      <c r="L31" s="3"/>
      <c r="M31" s="3"/>
    </row>
    <row r="32" spans="1:16" x14ac:dyDescent="0.3">
      <c r="A32" s="74" t="s">
        <v>67</v>
      </c>
      <c r="B32" s="56">
        <f>+B17</f>
        <v>0</v>
      </c>
      <c r="C32" s="56">
        <v>7</v>
      </c>
      <c r="D32" s="57">
        <v>2.5</v>
      </c>
      <c r="E32" s="8" t="s">
        <v>38</v>
      </c>
      <c r="F32" s="58">
        <v>0.01</v>
      </c>
      <c r="G32" s="59">
        <f t="shared" si="0"/>
        <v>0</v>
      </c>
      <c r="H32" s="3"/>
      <c r="I32" s="3"/>
      <c r="J32" s="3"/>
      <c r="K32" s="3"/>
      <c r="L32" s="3"/>
      <c r="M32" s="3"/>
    </row>
    <row r="33" spans="1:15" x14ac:dyDescent="0.3">
      <c r="A33" s="74" t="s">
        <v>24</v>
      </c>
      <c r="B33" s="56">
        <f>+B18</f>
        <v>0</v>
      </c>
      <c r="C33" s="56">
        <v>3</v>
      </c>
      <c r="D33" s="57">
        <v>2.5</v>
      </c>
      <c r="E33" s="8" t="s">
        <v>38</v>
      </c>
      <c r="F33" s="58">
        <v>0.01</v>
      </c>
      <c r="G33" s="59">
        <v>0</v>
      </c>
      <c r="H33" s="3"/>
      <c r="I33" s="3"/>
      <c r="J33" s="3"/>
      <c r="K33" s="3"/>
      <c r="L33" s="3"/>
      <c r="M33" s="3"/>
    </row>
    <row r="34" spans="1:15" x14ac:dyDescent="0.3">
      <c r="A34" s="31"/>
      <c r="B34" s="56"/>
      <c r="C34" s="56"/>
      <c r="D34" s="57"/>
      <c r="E34" s="8"/>
      <c r="F34" s="58"/>
      <c r="G34" s="59"/>
      <c r="H34" s="3"/>
      <c r="I34" s="3"/>
      <c r="J34" s="3"/>
      <c r="K34" s="3"/>
      <c r="L34" s="3"/>
      <c r="M34" s="3"/>
    </row>
    <row r="35" spans="1:15" x14ac:dyDescent="0.3">
      <c r="A35" s="31"/>
      <c r="B35" s="8"/>
      <c r="C35" s="8"/>
      <c r="D35" s="8"/>
      <c r="E35" s="100" t="s">
        <v>39</v>
      </c>
      <c r="F35" s="100"/>
      <c r="G35" s="51">
        <f>+SUM(G24:G33)</f>
        <v>-190</v>
      </c>
      <c r="H35" s="3"/>
      <c r="I35" s="83"/>
      <c r="J35" s="3"/>
      <c r="K35" s="3"/>
      <c r="L35" s="3"/>
      <c r="M35" s="3"/>
    </row>
    <row r="36" spans="1:15" x14ac:dyDescent="0.3">
      <c r="A36" s="60"/>
      <c r="B36" s="61"/>
      <c r="C36" s="61"/>
      <c r="D36" s="61"/>
      <c r="E36" s="93" t="s">
        <v>40</v>
      </c>
      <c r="F36" s="93"/>
      <c r="G36" s="62">
        <f>G22-G35</f>
        <v>6609.1406983940706</v>
      </c>
      <c r="H36" s="82"/>
      <c r="I36" s="82"/>
      <c r="J36" s="3"/>
      <c r="K36" s="82"/>
      <c r="L36" s="3"/>
      <c r="M36" s="3"/>
    </row>
    <row r="37" spans="1:15" x14ac:dyDescent="0.3">
      <c r="A37" s="60"/>
      <c r="B37" s="61"/>
      <c r="C37" s="61"/>
      <c r="D37" s="61"/>
      <c r="E37" s="93" t="s">
        <v>41</v>
      </c>
      <c r="F37" s="93"/>
      <c r="G37" s="62">
        <f>G36*E15/1000</f>
        <v>621589.6826839624</v>
      </c>
      <c r="H37" s="3"/>
      <c r="I37" s="82"/>
      <c r="J37" s="3"/>
      <c r="K37" s="3"/>
      <c r="L37" s="3"/>
      <c r="M37" s="3"/>
    </row>
    <row r="38" spans="1:15" x14ac:dyDescent="0.3">
      <c r="A38" s="44" t="s">
        <v>42</v>
      </c>
      <c r="B38" s="63">
        <v>0.85</v>
      </c>
      <c r="C38" s="8"/>
      <c r="D38" s="8"/>
      <c r="E38" s="73"/>
      <c r="F38" s="73"/>
      <c r="G38" s="51">
        <f>+G37*B38</f>
        <v>528351.23028136801</v>
      </c>
      <c r="H38" s="3"/>
      <c r="I38" s="3"/>
      <c r="J38" s="3"/>
      <c r="K38" s="86"/>
      <c r="L38" s="3"/>
      <c r="M38" s="3"/>
      <c r="O38" s="87"/>
    </row>
    <row r="39" spans="1:15" hidden="1" x14ac:dyDescent="0.3">
      <c r="A39" s="44" t="s">
        <v>43</v>
      </c>
      <c r="B39" s="8"/>
      <c r="C39" s="8"/>
      <c r="D39" s="8"/>
      <c r="E39" s="73"/>
      <c r="F39" s="73"/>
      <c r="G39" s="51"/>
      <c r="H39" s="3"/>
      <c r="I39" s="3"/>
      <c r="J39" s="3"/>
      <c r="K39" s="3"/>
      <c r="L39" s="3"/>
      <c r="M39" s="3"/>
    </row>
    <row r="40" spans="1:15" hidden="1" x14ac:dyDescent="0.3">
      <c r="A40" s="31" t="s">
        <v>44</v>
      </c>
      <c r="B40" s="56"/>
      <c r="C40" s="8"/>
      <c r="D40" s="8"/>
      <c r="E40" s="8"/>
      <c r="F40" s="8"/>
      <c r="G40" s="48">
        <f>$E$11*B40/1000</f>
        <v>0</v>
      </c>
      <c r="H40" s="3"/>
      <c r="I40" s="82"/>
      <c r="J40" s="3"/>
      <c r="K40" s="3"/>
      <c r="L40" s="4"/>
      <c r="M40" s="4"/>
    </row>
    <row r="41" spans="1:15" hidden="1" x14ac:dyDescent="0.3">
      <c r="A41" s="31" t="s">
        <v>45</v>
      </c>
      <c r="B41" s="56">
        <v>0</v>
      </c>
      <c r="C41" s="8"/>
      <c r="D41" s="8"/>
      <c r="E41" s="8"/>
      <c r="F41" s="8"/>
      <c r="G41" s="48">
        <f>B41*E11/1000</f>
        <v>0</v>
      </c>
      <c r="H41" s="3"/>
      <c r="I41" s="82"/>
      <c r="J41" s="3"/>
      <c r="K41" s="82"/>
      <c r="L41" s="4"/>
      <c r="M41" s="4"/>
    </row>
    <row r="42" spans="1:15" hidden="1" x14ac:dyDescent="0.3">
      <c r="A42" s="31" t="s">
        <v>46</v>
      </c>
      <c r="B42" s="64">
        <v>0</v>
      </c>
      <c r="C42" s="8"/>
      <c r="D42" s="8"/>
      <c r="E42" s="8"/>
      <c r="F42" s="8"/>
      <c r="G42" s="48">
        <f>B42*G37</f>
        <v>0</v>
      </c>
      <c r="H42" s="3"/>
      <c r="I42" s="82"/>
      <c r="J42" s="3"/>
      <c r="K42" s="3"/>
      <c r="L42" s="4"/>
      <c r="M42" s="4"/>
    </row>
    <row r="43" spans="1:15" hidden="1" x14ac:dyDescent="0.3">
      <c r="A43" s="31" t="s">
        <v>47</v>
      </c>
      <c r="B43" s="64">
        <v>0</v>
      </c>
      <c r="C43" s="8"/>
      <c r="D43" s="8"/>
      <c r="E43" s="8"/>
      <c r="F43" s="8"/>
      <c r="G43" s="48">
        <f>B43*G37</f>
        <v>0</v>
      </c>
      <c r="H43" s="3"/>
      <c r="I43" s="82"/>
      <c r="J43" s="3"/>
      <c r="K43" s="3"/>
      <c r="L43" s="4"/>
      <c r="M43" s="4"/>
    </row>
    <row r="44" spans="1:15" hidden="1" x14ac:dyDescent="0.3">
      <c r="A44" s="31" t="s">
        <v>48</v>
      </c>
      <c r="B44" s="64">
        <v>0</v>
      </c>
      <c r="C44" s="8"/>
      <c r="D44" s="8"/>
      <c r="E44" s="8"/>
      <c r="F44" s="8"/>
      <c r="G44" s="48">
        <f>B44*G37</f>
        <v>0</v>
      </c>
      <c r="H44" s="3"/>
      <c r="I44" s="82"/>
      <c r="J44" s="3"/>
      <c r="K44" s="3"/>
      <c r="L44" s="4"/>
      <c r="M44" s="4"/>
    </row>
    <row r="45" spans="1:15" hidden="1" x14ac:dyDescent="0.3">
      <c r="A45" s="31" t="s">
        <v>49</v>
      </c>
      <c r="B45" s="64">
        <v>0</v>
      </c>
      <c r="C45" s="8"/>
      <c r="D45" s="8"/>
      <c r="E45" s="8"/>
      <c r="F45" s="8"/>
      <c r="G45" s="48">
        <f>B45*G37</f>
        <v>0</v>
      </c>
      <c r="H45" s="3"/>
      <c r="I45" s="82"/>
      <c r="J45" s="3"/>
      <c r="K45" s="3"/>
      <c r="L45" s="4"/>
      <c r="M45" s="4"/>
    </row>
    <row r="46" spans="1:15" hidden="1" x14ac:dyDescent="0.3">
      <c r="A46" s="31" t="s">
        <v>50</v>
      </c>
      <c r="B46" s="64">
        <v>0</v>
      </c>
      <c r="C46" s="8"/>
      <c r="D46" s="8"/>
      <c r="E46" s="8"/>
      <c r="F46" s="8"/>
      <c r="G46" s="48">
        <f>B46*G37</f>
        <v>0</v>
      </c>
      <c r="H46" s="3"/>
      <c r="I46" s="82"/>
      <c r="J46" s="3"/>
      <c r="K46" s="3"/>
      <c r="L46" s="4"/>
      <c r="M46" s="4"/>
    </row>
    <row r="47" spans="1:15" hidden="1" x14ac:dyDescent="0.3">
      <c r="A47" s="31" t="s">
        <v>51</v>
      </c>
      <c r="B47" s="64">
        <v>0</v>
      </c>
      <c r="C47" s="8"/>
      <c r="D47" s="8"/>
      <c r="E47" s="8"/>
      <c r="F47" s="8"/>
      <c r="G47" s="48">
        <f>B47*G37</f>
        <v>0</v>
      </c>
      <c r="H47" s="3"/>
      <c r="I47" s="82"/>
      <c r="J47" s="3"/>
      <c r="K47" s="3"/>
      <c r="L47" s="4"/>
      <c r="M47" s="4"/>
    </row>
    <row r="48" spans="1:15" hidden="1" x14ac:dyDescent="0.3">
      <c r="A48" s="31" t="s">
        <v>52</v>
      </c>
      <c r="B48" s="8"/>
      <c r="C48" s="8"/>
      <c r="D48" s="8"/>
      <c r="E48" s="8"/>
      <c r="F48" s="8"/>
      <c r="G48" s="48"/>
      <c r="H48" s="82"/>
      <c r="I48" s="3"/>
      <c r="J48" s="3"/>
      <c r="K48" s="3"/>
      <c r="L48" s="3"/>
      <c r="M48" s="3"/>
    </row>
    <row r="49" spans="1:14" hidden="1" x14ac:dyDescent="0.3">
      <c r="A49" s="31" t="s">
        <v>53</v>
      </c>
      <c r="B49" s="8"/>
      <c r="C49" s="8"/>
      <c r="D49" s="8"/>
      <c r="E49" s="8"/>
      <c r="F49" s="8"/>
      <c r="G49" s="48"/>
      <c r="H49" s="3"/>
      <c r="I49" s="82"/>
      <c r="J49" s="82"/>
      <c r="K49" s="82"/>
      <c r="L49" s="3"/>
      <c r="M49" s="3"/>
    </row>
    <row r="50" spans="1:14" hidden="1" x14ac:dyDescent="0.3">
      <c r="A50" s="31" t="s">
        <v>54</v>
      </c>
      <c r="B50" s="64"/>
      <c r="C50" s="8"/>
      <c r="D50" s="8"/>
      <c r="E50" s="8"/>
      <c r="F50" s="8"/>
      <c r="G50" s="51"/>
      <c r="H50" s="3"/>
      <c r="I50" s="82"/>
      <c r="J50" s="82"/>
      <c r="K50" s="3"/>
      <c r="L50" s="3"/>
      <c r="M50" s="3"/>
    </row>
    <row r="51" spans="1:14" hidden="1" x14ac:dyDescent="0.3">
      <c r="A51" s="31" t="s">
        <v>54</v>
      </c>
      <c r="B51" s="64"/>
      <c r="C51" s="8"/>
      <c r="D51" s="8"/>
      <c r="E51" s="8"/>
      <c r="F51" s="8"/>
      <c r="G51" s="48"/>
      <c r="H51" s="3"/>
      <c r="I51" s="82"/>
      <c r="J51" s="82"/>
      <c r="K51" s="3"/>
      <c r="L51" s="3"/>
      <c r="M51" s="3"/>
    </row>
    <row r="52" spans="1:14" hidden="1" x14ac:dyDescent="0.3">
      <c r="A52" s="44" t="s">
        <v>55</v>
      </c>
      <c r="B52" s="64"/>
      <c r="C52" s="8"/>
      <c r="D52" s="8"/>
      <c r="E52" s="8"/>
      <c r="F52" s="8"/>
      <c r="G52" s="51"/>
      <c r="H52" s="3"/>
      <c r="I52" s="82"/>
      <c r="J52" s="82"/>
      <c r="K52" s="3"/>
      <c r="L52" s="3"/>
      <c r="M52" s="3"/>
    </row>
    <row r="53" spans="1:14" hidden="1" x14ac:dyDescent="0.3">
      <c r="A53" s="44" t="s">
        <v>54</v>
      </c>
      <c r="B53" s="64"/>
      <c r="C53" s="8"/>
      <c r="D53" s="8"/>
      <c r="E53" s="8"/>
      <c r="F53" s="8"/>
      <c r="G53" s="51"/>
      <c r="H53" s="3"/>
      <c r="I53" s="82"/>
      <c r="J53" s="82"/>
      <c r="K53" s="82"/>
      <c r="L53" s="3"/>
      <c r="M53" s="3"/>
    </row>
    <row r="54" spans="1:14" hidden="1" x14ac:dyDescent="0.3">
      <c r="A54" s="44" t="s">
        <v>54</v>
      </c>
      <c r="B54" s="64"/>
      <c r="C54" s="8"/>
      <c r="D54" s="8"/>
      <c r="E54" s="8"/>
      <c r="F54" s="8"/>
      <c r="G54" s="51"/>
      <c r="H54" s="3"/>
      <c r="I54" s="82"/>
      <c r="J54" s="82"/>
      <c r="K54" s="82"/>
      <c r="L54" s="3"/>
      <c r="M54" s="3"/>
    </row>
    <row r="55" spans="1:14" x14ac:dyDescent="0.3">
      <c r="A55" s="44" t="s">
        <v>56</v>
      </c>
      <c r="B55" s="77">
        <v>28</v>
      </c>
      <c r="C55" s="8"/>
      <c r="D55" s="8"/>
      <c r="E55" s="8"/>
      <c r="F55" s="8"/>
      <c r="G55" s="51">
        <f>+B55*E11/1000</f>
        <v>2800</v>
      </c>
      <c r="H55" s="3"/>
      <c r="I55" s="82"/>
      <c r="J55" s="82"/>
      <c r="K55" s="82"/>
      <c r="L55" s="3"/>
      <c r="M55" s="3"/>
      <c r="N55" s="88"/>
    </row>
    <row r="56" spans="1:14" hidden="1" x14ac:dyDescent="0.3">
      <c r="A56" s="44" t="s">
        <v>57</v>
      </c>
      <c r="B56" s="64"/>
      <c r="C56" s="8"/>
      <c r="D56" s="8"/>
      <c r="E56" s="8"/>
      <c r="F56" s="8"/>
      <c r="G56" s="51"/>
      <c r="H56" s="3"/>
      <c r="I56" s="82"/>
      <c r="J56" s="82"/>
      <c r="K56" s="3"/>
      <c r="L56" s="3"/>
      <c r="M56" s="3"/>
    </row>
    <row r="57" spans="1:14" hidden="1" x14ac:dyDescent="0.3">
      <c r="A57" s="44" t="s">
        <v>58</v>
      </c>
      <c r="B57" s="64"/>
      <c r="C57" s="8"/>
      <c r="D57" s="8"/>
      <c r="E57" s="8"/>
      <c r="F57" s="8"/>
      <c r="G57" s="51"/>
      <c r="H57" s="3"/>
      <c r="I57" s="82"/>
      <c r="J57" s="82"/>
      <c r="K57" s="3"/>
      <c r="L57" s="3"/>
      <c r="M57" s="3"/>
    </row>
    <row r="58" spans="1:14" hidden="1" x14ac:dyDescent="0.3">
      <c r="A58" s="31" t="s">
        <v>59</v>
      </c>
      <c r="B58" s="64"/>
      <c r="C58" s="8"/>
      <c r="D58" s="8"/>
      <c r="E58" s="8"/>
      <c r="F58" s="8"/>
      <c r="G58" s="51"/>
      <c r="H58" s="3"/>
      <c r="I58" s="82"/>
      <c r="J58" s="82"/>
      <c r="K58" s="3"/>
      <c r="L58" s="3"/>
      <c r="M58" s="3"/>
    </row>
    <row r="59" spans="1:14" hidden="1" x14ac:dyDescent="0.3">
      <c r="A59" s="44" t="s">
        <v>60</v>
      </c>
      <c r="B59" s="64"/>
      <c r="C59" s="8"/>
      <c r="D59" s="8"/>
      <c r="E59" s="8"/>
      <c r="F59" s="8"/>
      <c r="G59" s="51"/>
      <c r="H59" s="3"/>
      <c r="I59" s="82"/>
      <c r="J59" s="82"/>
      <c r="K59" s="82"/>
      <c r="L59" s="3"/>
      <c r="M59" s="3"/>
    </row>
    <row r="60" spans="1:14" x14ac:dyDescent="0.3">
      <c r="A60" s="37"/>
      <c r="B60" s="18"/>
      <c r="C60" s="18"/>
      <c r="D60" s="18"/>
      <c r="E60" s="94" t="s">
        <v>61</v>
      </c>
      <c r="F60" s="94"/>
      <c r="G60" s="65">
        <f>+G38-G55</f>
        <v>525551.23028136801</v>
      </c>
      <c r="H60" s="3"/>
      <c r="I60" s="86"/>
      <c r="J60" s="3"/>
      <c r="K60" s="82"/>
      <c r="L60" s="82"/>
      <c r="M60" s="3"/>
    </row>
    <row r="61" spans="1:14" x14ac:dyDescent="0.3">
      <c r="A61" s="66" t="s">
        <v>62</v>
      </c>
      <c r="B61" s="67"/>
      <c r="C61" s="67"/>
      <c r="D61" s="67"/>
      <c r="E61" s="67"/>
      <c r="F61" s="67"/>
      <c r="G61" s="92">
        <f>+G60*7.5</f>
        <v>3941634.2271102602</v>
      </c>
      <c r="H61" s="89"/>
      <c r="I61" s="90"/>
      <c r="J61" s="3"/>
      <c r="K61" s="82"/>
      <c r="L61" s="3"/>
      <c r="M61" s="3"/>
      <c r="N61" s="91"/>
    </row>
    <row r="62" spans="1:14" x14ac:dyDescent="0.3">
      <c r="A62" s="8"/>
      <c r="B62" s="8"/>
      <c r="C62" s="8"/>
      <c r="D62" s="8"/>
      <c r="E62" s="8"/>
      <c r="F62" s="8"/>
      <c r="G62" s="8"/>
      <c r="H62" s="89"/>
      <c r="I62" s="90"/>
      <c r="J62" s="3"/>
      <c r="K62" s="82"/>
      <c r="L62" s="3"/>
      <c r="M62" s="3"/>
    </row>
    <row r="63" spans="1:14" x14ac:dyDescent="0.3">
      <c r="A63" s="8"/>
      <c r="B63" s="8"/>
      <c r="C63" s="8"/>
      <c r="D63" s="8"/>
      <c r="E63" s="8"/>
      <c r="F63" s="8"/>
      <c r="G63" s="8"/>
      <c r="H63" s="89"/>
      <c r="I63" s="90"/>
      <c r="J63" s="3"/>
      <c r="K63" s="82"/>
      <c r="L63" s="3"/>
      <c r="M63" s="3"/>
    </row>
    <row r="64" spans="1:14" x14ac:dyDescent="0.3">
      <c r="A64" s="72" t="s">
        <v>63</v>
      </c>
      <c r="B64" s="8"/>
      <c r="C64" s="68" t="s">
        <v>64</v>
      </c>
      <c r="D64" s="69"/>
      <c r="E64" s="8"/>
      <c r="F64" s="95" t="s">
        <v>65</v>
      </c>
      <c r="G64" s="95"/>
      <c r="H64" s="3"/>
      <c r="I64" s="90"/>
      <c r="J64" s="3"/>
      <c r="K64" s="3"/>
      <c r="L64" s="3"/>
      <c r="M64" s="3"/>
    </row>
  </sheetData>
  <mergeCells count="9">
    <mergeCell ref="E37:F37"/>
    <mergeCell ref="E60:F60"/>
    <mergeCell ref="F64:G64"/>
    <mergeCell ref="A5:G5"/>
    <mergeCell ref="B6:F6"/>
    <mergeCell ref="C10:E10"/>
    <mergeCell ref="E22:F22"/>
    <mergeCell ref="E35:F35"/>
    <mergeCell ref="E36:F3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ZN-AG</vt:lpstr>
      <vt:lpstr>PB-AG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COREi5</dc:creator>
  <cp:lastModifiedBy>GROVER Choque</cp:lastModifiedBy>
  <cp:lastPrinted>2026-03-30T20:02:54Z</cp:lastPrinted>
  <dcterms:created xsi:type="dcterms:W3CDTF">2025-10-29T14:18:39Z</dcterms:created>
  <dcterms:modified xsi:type="dcterms:W3CDTF">2026-08-20T02:09:32Z</dcterms:modified>
</cp:coreProperties>
</file>